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P:\University\DuringUni\SubC\Fluids\"/>
    </mc:Choice>
  </mc:AlternateContent>
  <bookViews>
    <workbookView xWindow="0" yWindow="0" windowWidth="27570" windowHeight="10080" tabRatio="897" activeTab="7"/>
  </bookViews>
  <sheets>
    <sheet name="Summary+ellip" sheetId="5" r:id="rId1"/>
    <sheet name="Instructions" sheetId="17" r:id="rId2"/>
    <sheet name="Pressure" sheetId="12" r:id="rId3"/>
    <sheet name="Devin-half" sheetId="3" r:id="rId4"/>
    <sheet name="Stephen-half" sheetId="14" r:id="rId5"/>
    <sheet name="Isaac-half" sheetId="7" r:id="rId6"/>
    <sheet name="Paul-half" sheetId="8" r:id="rId7"/>
    <sheet name="PaulFunction" sheetId="18" r:id="rId8"/>
    <sheet name="Kevin-half" sheetId="13" r:id="rId9"/>
    <sheet name="Devin-full" sheetId="10" r:id="rId10"/>
    <sheet name="AofAs" sheetId="16" r:id="rId11"/>
    <sheet name="LateralDropMatlab" sheetId="15" r:id="rId12"/>
  </sheets>
  <calcPr calcId="171027" iterateDelta="9.9999999999999995E-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6" l="1"/>
  <c r="H6" i="15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B5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4" i="15"/>
  <c r="L3" i="14" l="1"/>
  <c r="L3" i="3"/>
  <c r="O39" i="14"/>
  <c r="P38" i="14" s="1"/>
  <c r="B27" i="14"/>
  <c r="U21" i="14" s="1"/>
  <c r="I26" i="14"/>
  <c r="I23" i="14"/>
  <c r="B22" i="14"/>
  <c r="B15" i="14" s="1"/>
  <c r="F15" i="14" s="1"/>
  <c r="K20" i="14"/>
  <c r="K19" i="14"/>
  <c r="L15" i="14"/>
  <c r="E15" i="14"/>
  <c r="L14" i="14"/>
  <c r="E14" i="14"/>
  <c r="L13" i="14"/>
  <c r="E13" i="14"/>
  <c r="L12" i="14"/>
  <c r="E12" i="14"/>
  <c r="L11" i="14"/>
  <c r="E11" i="14"/>
  <c r="L10" i="14"/>
  <c r="E10" i="14"/>
  <c r="L9" i="14"/>
  <c r="E9" i="14"/>
  <c r="L8" i="14"/>
  <c r="E8" i="14"/>
  <c r="L7" i="14"/>
  <c r="E7" i="14"/>
  <c r="L6" i="14"/>
  <c r="E6" i="14"/>
  <c r="L5" i="14"/>
  <c r="E5" i="14"/>
  <c r="L4" i="14"/>
  <c r="E4" i="14"/>
  <c r="E3" i="14"/>
  <c r="B3" i="14"/>
  <c r="F3" i="14" s="1"/>
  <c r="O31" i="13"/>
  <c r="P30" i="13" s="1"/>
  <c r="B23" i="13"/>
  <c r="U17" i="13" s="1"/>
  <c r="I22" i="13"/>
  <c r="I19" i="13"/>
  <c r="B18" i="13"/>
  <c r="B11" i="13" s="1"/>
  <c r="K16" i="13"/>
  <c r="K15" i="13"/>
  <c r="L11" i="13"/>
  <c r="E11" i="13"/>
  <c r="L10" i="13"/>
  <c r="E10" i="13"/>
  <c r="L9" i="13"/>
  <c r="E9" i="13"/>
  <c r="L8" i="13"/>
  <c r="E8" i="13"/>
  <c r="L7" i="13"/>
  <c r="E7" i="13"/>
  <c r="L6" i="13"/>
  <c r="E6" i="13"/>
  <c r="L5" i="13"/>
  <c r="E5" i="13"/>
  <c r="L4" i="13"/>
  <c r="E4" i="13"/>
  <c r="L3" i="13"/>
  <c r="E3" i="13"/>
  <c r="I38" i="10"/>
  <c r="I22" i="8"/>
  <c r="I19" i="8"/>
  <c r="I21" i="7"/>
  <c r="I23" i="3"/>
  <c r="I24" i="7"/>
  <c r="O39" i="3"/>
  <c r="I26" i="3"/>
  <c r="L8" i="12"/>
  <c r="L9" i="12"/>
  <c r="L10" i="12"/>
  <c r="L11" i="12"/>
  <c r="L7" i="12"/>
  <c r="I3" i="12"/>
  <c r="I4" i="12"/>
  <c r="I5" i="12"/>
  <c r="I6" i="12"/>
  <c r="I7" i="12"/>
  <c r="I8" i="12"/>
  <c r="I9" i="12"/>
  <c r="I10" i="12"/>
  <c r="I11" i="12"/>
  <c r="I2" i="12"/>
  <c r="H15" i="14" l="1"/>
  <c r="H3" i="14"/>
  <c r="B4" i="14"/>
  <c r="B5" i="14"/>
  <c r="B6" i="14"/>
  <c r="B7" i="14"/>
  <c r="B8" i="14"/>
  <c r="B9" i="14"/>
  <c r="B10" i="14"/>
  <c r="B11" i="14"/>
  <c r="B12" i="14"/>
  <c r="B13" i="14"/>
  <c r="B14" i="14"/>
  <c r="C3" i="14"/>
  <c r="I24" i="14"/>
  <c r="B19" i="14"/>
  <c r="B24" i="14" s="1"/>
  <c r="B28" i="14" s="1"/>
  <c r="U19" i="14" s="1"/>
  <c r="P35" i="14"/>
  <c r="C15" i="14"/>
  <c r="A1" i="14"/>
  <c r="P37" i="14"/>
  <c r="I25" i="14"/>
  <c r="P36" i="14"/>
  <c r="P34" i="14"/>
  <c r="I21" i="13"/>
  <c r="P28" i="13"/>
  <c r="I20" i="13"/>
  <c r="A1" i="13"/>
  <c r="B15" i="13"/>
  <c r="B20" i="13" s="1"/>
  <c r="B24" i="13" s="1"/>
  <c r="U15" i="13" s="1"/>
  <c r="P27" i="13"/>
  <c r="P29" i="13"/>
  <c r="H11" i="13"/>
  <c r="C11" i="13"/>
  <c r="F11" i="13"/>
  <c r="B3" i="13"/>
  <c r="B4" i="13"/>
  <c r="B5" i="13"/>
  <c r="B6" i="13"/>
  <c r="B7" i="13"/>
  <c r="B8" i="13"/>
  <c r="B9" i="13"/>
  <c r="B10" i="13"/>
  <c r="P26" i="13"/>
  <c r="F16" i="13" l="1"/>
  <c r="F17" i="13"/>
  <c r="F21" i="13"/>
  <c r="F18" i="13"/>
  <c r="F19" i="13"/>
  <c r="F20" i="13"/>
  <c r="F20" i="14"/>
  <c r="F21" i="14"/>
  <c r="F25" i="14"/>
  <c r="F22" i="14"/>
  <c r="F23" i="14"/>
  <c r="F24" i="14"/>
  <c r="F11" i="14"/>
  <c r="H11" i="14" s="1"/>
  <c r="C11" i="14"/>
  <c r="F7" i="14"/>
  <c r="H7" i="14" s="1"/>
  <c r="C7" i="14"/>
  <c r="F14" i="14"/>
  <c r="H14" i="14" s="1"/>
  <c r="C14" i="14"/>
  <c r="F10" i="14"/>
  <c r="H10" i="14" s="1"/>
  <c r="C10" i="14"/>
  <c r="F6" i="14"/>
  <c r="H6" i="14" s="1"/>
  <c r="C6" i="14"/>
  <c r="F13" i="14"/>
  <c r="H13" i="14" s="1"/>
  <c r="C13" i="14"/>
  <c r="F9" i="14"/>
  <c r="H9" i="14" s="1"/>
  <c r="C9" i="14"/>
  <c r="F5" i="14"/>
  <c r="H5" i="14" s="1"/>
  <c r="C5" i="14"/>
  <c r="F12" i="14"/>
  <c r="H12" i="14" s="1"/>
  <c r="C12" i="14"/>
  <c r="F8" i="14"/>
  <c r="H8" i="14" s="1"/>
  <c r="C8" i="14"/>
  <c r="F4" i="14"/>
  <c r="H4" i="14" s="1"/>
  <c r="C4" i="14"/>
  <c r="Q24" i="13"/>
  <c r="W11" i="13"/>
  <c r="P16" i="13"/>
  <c r="P24" i="13"/>
  <c r="Q19" i="13"/>
  <c r="W13" i="14"/>
  <c r="W9" i="14"/>
  <c r="W5" i="14"/>
  <c r="W10" i="14"/>
  <c r="W6" i="14"/>
  <c r="W12" i="14"/>
  <c r="W8" i="14"/>
  <c r="W4" i="14"/>
  <c r="W15" i="14"/>
  <c r="W14" i="14"/>
  <c r="W7" i="14"/>
  <c r="W3" i="14"/>
  <c r="P32" i="14"/>
  <c r="Q29" i="14"/>
  <c r="P28" i="14"/>
  <c r="P27" i="14"/>
  <c r="P26" i="14"/>
  <c r="Q25" i="14"/>
  <c r="P23" i="14"/>
  <c r="P22" i="14"/>
  <c r="Q20" i="14"/>
  <c r="Q31" i="14"/>
  <c r="P30" i="14"/>
  <c r="Q30" i="14"/>
  <c r="P29" i="14"/>
  <c r="P25" i="14"/>
  <c r="Q24" i="14"/>
  <c r="Q21" i="14"/>
  <c r="P20" i="14"/>
  <c r="P24" i="14"/>
  <c r="Q26" i="14"/>
  <c r="Q28" i="14"/>
  <c r="Q23" i="14"/>
  <c r="Q32" i="14"/>
  <c r="Q27" i="14"/>
  <c r="P31" i="14"/>
  <c r="Q22" i="14"/>
  <c r="P21" i="14"/>
  <c r="Q21" i="13"/>
  <c r="Q18" i="13"/>
  <c r="W11" i="14"/>
  <c r="Q17" i="13"/>
  <c r="P19" i="13"/>
  <c r="Q23" i="13"/>
  <c r="W4" i="13"/>
  <c r="P23" i="13"/>
  <c r="P18" i="13"/>
  <c r="Q20" i="13"/>
  <c r="Q22" i="13"/>
  <c r="W5" i="13"/>
  <c r="P22" i="13"/>
  <c r="Q16" i="13"/>
  <c r="P21" i="13"/>
  <c r="P20" i="13"/>
  <c r="P17" i="13"/>
  <c r="W6" i="13"/>
  <c r="W8" i="13"/>
  <c r="W9" i="13"/>
  <c r="W3" i="13"/>
  <c r="W7" i="13"/>
  <c r="W10" i="13"/>
  <c r="F3" i="13"/>
  <c r="H3" i="13" s="1"/>
  <c r="C3" i="13"/>
  <c r="F8" i="13"/>
  <c r="H8" i="13" s="1"/>
  <c r="C8" i="13"/>
  <c r="F4" i="13"/>
  <c r="H4" i="13" s="1"/>
  <c r="C4" i="13"/>
  <c r="O11" i="13"/>
  <c r="F7" i="13"/>
  <c r="H7" i="13" s="1"/>
  <c r="C7" i="13"/>
  <c r="C10" i="13"/>
  <c r="F10" i="13"/>
  <c r="H10" i="13" s="1"/>
  <c r="F6" i="13"/>
  <c r="H6" i="13" s="1"/>
  <c r="C6" i="13"/>
  <c r="F9" i="13"/>
  <c r="H9" i="13" s="1"/>
  <c r="C9" i="13"/>
  <c r="F5" i="13"/>
  <c r="H5" i="13" s="1"/>
  <c r="C5" i="13"/>
  <c r="R25" i="14" l="1"/>
  <c r="M8" i="14" s="1"/>
  <c r="N8" i="14" s="1"/>
  <c r="R21" i="13"/>
  <c r="M8" i="13" s="1"/>
  <c r="N8" i="13" s="1"/>
  <c r="R18" i="13"/>
  <c r="M5" i="13" s="1"/>
  <c r="N5" i="13" s="1"/>
  <c r="R24" i="13"/>
  <c r="M11" i="13" s="1"/>
  <c r="N11" i="13" s="1"/>
  <c r="P11" i="13" s="1"/>
  <c r="R16" i="13"/>
  <c r="M3" i="13" s="1"/>
  <c r="R20" i="14"/>
  <c r="M3" i="14" s="1"/>
  <c r="R19" i="13"/>
  <c r="M6" i="13" s="1"/>
  <c r="N6" i="13" s="1"/>
  <c r="R23" i="13"/>
  <c r="M10" i="13" s="1"/>
  <c r="N10" i="13" s="1"/>
  <c r="R17" i="13"/>
  <c r="M4" i="13" s="1"/>
  <c r="N4" i="13" s="1"/>
  <c r="R22" i="13"/>
  <c r="M9" i="13" s="1"/>
  <c r="N9" i="13" s="1"/>
  <c r="R20" i="13"/>
  <c r="M7" i="13" s="1"/>
  <c r="N7" i="13" s="1"/>
  <c r="R30" i="14"/>
  <c r="M13" i="14" s="1"/>
  <c r="N13" i="14" s="1"/>
  <c r="R23" i="14"/>
  <c r="M6" i="14" s="1"/>
  <c r="N6" i="14" s="1"/>
  <c r="R28" i="14"/>
  <c r="M11" i="14" s="1"/>
  <c r="N11" i="14" s="1"/>
  <c r="R21" i="14"/>
  <c r="M4" i="14" s="1"/>
  <c r="N4" i="14" s="1"/>
  <c r="R24" i="14"/>
  <c r="M7" i="14" s="1"/>
  <c r="N7" i="14" s="1"/>
  <c r="R29" i="14"/>
  <c r="M12" i="14" s="1"/>
  <c r="N12" i="14" s="1"/>
  <c r="R26" i="14"/>
  <c r="M9" i="14" s="1"/>
  <c r="N9" i="14" s="1"/>
  <c r="R32" i="14"/>
  <c r="M15" i="14" s="1"/>
  <c r="N15" i="14" s="1"/>
  <c r="R31" i="14"/>
  <c r="M14" i="14" s="1"/>
  <c r="N14" i="14" s="1"/>
  <c r="R22" i="14"/>
  <c r="M5" i="14" s="1"/>
  <c r="N5" i="14" s="1"/>
  <c r="R27" i="14"/>
  <c r="M10" i="14" s="1"/>
  <c r="N10" i="14" s="1"/>
  <c r="O9" i="13"/>
  <c r="O6" i="13"/>
  <c r="O7" i="13"/>
  <c r="O8" i="13"/>
  <c r="O10" i="13"/>
  <c r="O5" i="13"/>
  <c r="Q11" i="13"/>
  <c r="O4" i="13"/>
  <c r="O3" i="13"/>
  <c r="R11" i="13" l="1"/>
  <c r="S11" i="13" s="1"/>
  <c r="R25" i="13"/>
  <c r="R33" i="14"/>
  <c r="N3" i="14"/>
  <c r="B25" i="14"/>
  <c r="V11" i="13"/>
  <c r="X11" i="13" s="1"/>
  <c r="Q5" i="13"/>
  <c r="R5" i="13" s="1"/>
  <c r="P5" i="13"/>
  <c r="B21" i="13"/>
  <c r="N3" i="13"/>
  <c r="N12" i="13" s="1"/>
  <c r="Q9" i="13"/>
  <c r="R9" i="13" s="1"/>
  <c r="P9" i="13"/>
  <c r="Q4" i="13"/>
  <c r="R4" i="13" s="1"/>
  <c r="P4" i="13"/>
  <c r="Q10" i="13"/>
  <c r="R10" i="13" s="1"/>
  <c r="P10" i="13"/>
  <c r="Q8" i="13"/>
  <c r="R8" i="13" s="1"/>
  <c r="P8" i="13"/>
  <c r="Q3" i="13"/>
  <c r="Q7" i="13"/>
  <c r="R7" i="13" s="1"/>
  <c r="P7" i="13"/>
  <c r="Q6" i="13"/>
  <c r="R6" i="13" s="1"/>
  <c r="P6" i="13"/>
  <c r="T11" i="13" l="1"/>
  <c r="U11" i="13" s="1"/>
  <c r="R3" i="13"/>
  <c r="R12" i="13" s="1"/>
  <c r="T10" i="13"/>
  <c r="U10" i="13" s="1"/>
  <c r="T9" i="13"/>
  <c r="U9" i="13" s="1"/>
  <c r="T5" i="13"/>
  <c r="U5" i="13" s="1"/>
  <c r="L19" i="14"/>
  <c r="D11" i="14"/>
  <c r="G11" i="14" s="1"/>
  <c r="J11" i="14" s="1"/>
  <c r="D7" i="14"/>
  <c r="G7" i="14" s="1"/>
  <c r="J7" i="14" s="1"/>
  <c r="D3" i="14"/>
  <c r="G3" i="14" s="1"/>
  <c r="J3" i="14" s="1"/>
  <c r="D12" i="14"/>
  <c r="G12" i="14" s="1"/>
  <c r="J12" i="14" s="1"/>
  <c r="D14" i="14"/>
  <c r="G14" i="14" s="1"/>
  <c r="J14" i="14" s="1"/>
  <c r="D10" i="14"/>
  <c r="G10" i="14" s="1"/>
  <c r="J10" i="14" s="1"/>
  <c r="D6" i="14"/>
  <c r="G6" i="14" s="1"/>
  <c r="J6" i="14" s="1"/>
  <c r="D8" i="14"/>
  <c r="G8" i="14" s="1"/>
  <c r="J8" i="14" s="1"/>
  <c r="D4" i="14"/>
  <c r="G4" i="14" s="1"/>
  <c r="J4" i="14" s="1"/>
  <c r="D9" i="14"/>
  <c r="G9" i="14" s="1"/>
  <c r="J9" i="14" s="1"/>
  <c r="D5" i="14"/>
  <c r="G5" i="14" s="1"/>
  <c r="J5" i="14" s="1"/>
  <c r="D13" i="14"/>
  <c r="G13" i="14" s="1"/>
  <c r="J13" i="14" s="1"/>
  <c r="D15" i="14"/>
  <c r="G15" i="14" s="1"/>
  <c r="J15" i="14" s="1"/>
  <c r="N16" i="14"/>
  <c r="T4" i="13"/>
  <c r="U4" i="13" s="1"/>
  <c r="T8" i="13"/>
  <c r="U8" i="13" s="1"/>
  <c r="T7" i="13"/>
  <c r="U7" i="13" s="1"/>
  <c r="S8" i="13"/>
  <c r="V8" i="13"/>
  <c r="X8" i="13" s="1"/>
  <c r="V4" i="13"/>
  <c r="X4" i="13" s="1"/>
  <c r="S4" i="13"/>
  <c r="S7" i="13"/>
  <c r="V7" i="13"/>
  <c r="X7" i="13" s="1"/>
  <c r="S6" i="13"/>
  <c r="V6" i="13"/>
  <c r="X6" i="13" s="1"/>
  <c r="L15" i="13"/>
  <c r="D11" i="13"/>
  <c r="G11" i="13" s="1"/>
  <c r="D7" i="13"/>
  <c r="G7" i="13" s="1"/>
  <c r="D6" i="13"/>
  <c r="G6" i="13" s="1"/>
  <c r="D8" i="13"/>
  <c r="G8" i="13" s="1"/>
  <c r="D10" i="13"/>
  <c r="G10" i="13" s="1"/>
  <c r="D5" i="13"/>
  <c r="G5" i="13" s="1"/>
  <c r="D9" i="13"/>
  <c r="G9" i="13" s="1"/>
  <c r="D4" i="13"/>
  <c r="G4" i="13" s="1"/>
  <c r="D3" i="13"/>
  <c r="G3" i="13" s="1"/>
  <c r="T21" i="13"/>
  <c r="T6" i="13"/>
  <c r="U6" i="13" s="1"/>
  <c r="P3" i="13"/>
  <c r="V10" i="13"/>
  <c r="X10" i="13" s="1"/>
  <c r="S10" i="13"/>
  <c r="V9" i="13"/>
  <c r="X9" i="13" s="1"/>
  <c r="S9" i="13"/>
  <c r="S5" i="13"/>
  <c r="V5" i="13"/>
  <c r="X5" i="13" s="1"/>
  <c r="I9" i="13" l="1"/>
  <c r="J9" i="13"/>
  <c r="I5" i="13"/>
  <c r="J5" i="13"/>
  <c r="I7" i="13"/>
  <c r="J7" i="13"/>
  <c r="I4" i="13"/>
  <c r="J4" i="13"/>
  <c r="I8" i="13"/>
  <c r="J8" i="13"/>
  <c r="I6" i="13"/>
  <c r="J6" i="13"/>
  <c r="I10" i="13"/>
  <c r="J10" i="13"/>
  <c r="I11" i="13"/>
  <c r="J11" i="13"/>
  <c r="I3" i="13"/>
  <c r="J3" i="13"/>
  <c r="I8" i="14"/>
  <c r="I9" i="14"/>
  <c r="I10" i="14"/>
  <c r="I7" i="14"/>
  <c r="I15" i="14"/>
  <c r="I4" i="14"/>
  <c r="I14" i="14"/>
  <c r="I11" i="14"/>
  <c r="I13" i="14"/>
  <c r="I12" i="14"/>
  <c r="I5" i="14"/>
  <c r="I6" i="14"/>
  <c r="I3" i="14"/>
  <c r="O12" i="14"/>
  <c r="O5" i="14"/>
  <c r="O6" i="14"/>
  <c r="O13" i="14"/>
  <c r="O9" i="14"/>
  <c r="O10" i="14"/>
  <c r="O7" i="14"/>
  <c r="O8" i="14"/>
  <c r="O15" i="14"/>
  <c r="O4" i="14"/>
  <c r="O14" i="14"/>
  <c r="O11" i="14"/>
  <c r="O3" i="14"/>
  <c r="M19" i="14"/>
  <c r="L20" i="14"/>
  <c r="M20" i="14" s="1"/>
  <c r="P12" i="13"/>
  <c r="V3" i="13"/>
  <c r="X3" i="13" s="1"/>
  <c r="S3" i="13"/>
  <c r="S12" i="13" s="1"/>
  <c r="T15" i="13" s="1"/>
  <c r="L16" i="13"/>
  <c r="M16" i="13" s="1"/>
  <c r="M15" i="13"/>
  <c r="T3" i="13"/>
  <c r="Q8" i="14" l="1"/>
  <c r="R8" i="14" s="1"/>
  <c r="P8" i="14"/>
  <c r="Q13" i="14"/>
  <c r="R13" i="14" s="1"/>
  <c r="P13" i="14"/>
  <c r="Q5" i="14"/>
  <c r="R5" i="14" s="1"/>
  <c r="P5" i="14"/>
  <c r="Q11" i="14"/>
  <c r="R11" i="14" s="1"/>
  <c r="P11" i="14"/>
  <c r="Q10" i="14"/>
  <c r="R10" i="14" s="1"/>
  <c r="P10" i="14"/>
  <c r="Q12" i="14"/>
  <c r="R12" i="14" s="1"/>
  <c r="P12" i="14"/>
  <c r="Q4" i="14"/>
  <c r="R4" i="14" s="1"/>
  <c r="P4" i="14"/>
  <c r="Q14" i="14"/>
  <c r="R14" i="14" s="1"/>
  <c r="P14" i="14"/>
  <c r="Q15" i="14"/>
  <c r="R15" i="14" s="1"/>
  <c r="P15" i="14"/>
  <c r="Q7" i="14"/>
  <c r="R7" i="14" s="1"/>
  <c r="P7" i="14"/>
  <c r="Q9" i="14"/>
  <c r="R9" i="14" s="1"/>
  <c r="P9" i="14"/>
  <c r="Q6" i="14"/>
  <c r="R6" i="14" s="1"/>
  <c r="P6" i="14"/>
  <c r="Q3" i="14"/>
  <c r="P3" i="14"/>
  <c r="T12" i="13"/>
  <c r="U3" i="13"/>
  <c r="U12" i="13" s="1"/>
  <c r="T17" i="13" s="1"/>
  <c r="T19" i="13" s="1"/>
  <c r="T9" i="14" l="1"/>
  <c r="U9" i="14" s="1"/>
  <c r="T4" i="14"/>
  <c r="U4" i="14" s="1"/>
  <c r="T5" i="14"/>
  <c r="U5" i="14" s="1"/>
  <c r="T15" i="14"/>
  <c r="U15" i="14" s="1"/>
  <c r="T10" i="14"/>
  <c r="U10" i="14" s="1"/>
  <c r="V6" i="14"/>
  <c r="X6" i="14" s="1"/>
  <c r="S6" i="14"/>
  <c r="V14" i="14"/>
  <c r="X14" i="14" s="1"/>
  <c r="S14" i="14"/>
  <c r="V11" i="14"/>
  <c r="X11" i="14" s="1"/>
  <c r="S11" i="14"/>
  <c r="V13" i="14"/>
  <c r="X13" i="14" s="1"/>
  <c r="S13" i="14"/>
  <c r="T7" i="14"/>
  <c r="U7" i="14" s="1"/>
  <c r="T14" i="14"/>
  <c r="U14" i="14" s="1"/>
  <c r="T12" i="14"/>
  <c r="U12" i="14" s="1"/>
  <c r="T11" i="14"/>
  <c r="U11" i="14" s="1"/>
  <c r="T13" i="14"/>
  <c r="U13" i="14" s="1"/>
  <c r="V7" i="14"/>
  <c r="X7" i="14" s="1"/>
  <c r="S7" i="14"/>
  <c r="V12" i="14"/>
  <c r="X12" i="14" s="1"/>
  <c r="S12" i="14"/>
  <c r="T6" i="14"/>
  <c r="U6" i="14" s="1"/>
  <c r="V9" i="14"/>
  <c r="X9" i="14" s="1"/>
  <c r="S9" i="14"/>
  <c r="V15" i="14"/>
  <c r="X15" i="14" s="1"/>
  <c r="S15" i="14"/>
  <c r="V4" i="14"/>
  <c r="X4" i="14" s="1"/>
  <c r="S4" i="14"/>
  <c r="V10" i="14"/>
  <c r="X10" i="14" s="1"/>
  <c r="S10" i="14"/>
  <c r="V5" i="14"/>
  <c r="X5" i="14" s="1"/>
  <c r="S5" i="14"/>
  <c r="V8" i="14"/>
  <c r="X8" i="14" s="1"/>
  <c r="S8" i="14"/>
  <c r="T8" i="14"/>
  <c r="U8" i="14" s="1"/>
  <c r="P16" i="14"/>
  <c r="V3" i="14"/>
  <c r="X3" i="14" s="1"/>
  <c r="T25" i="14"/>
  <c r="R3" i="14"/>
  <c r="S3" i="14" s="1"/>
  <c r="B39" i="10"/>
  <c r="U33" i="10" s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O65" i="10"/>
  <c r="B34" i="10"/>
  <c r="B13" i="10" s="1"/>
  <c r="F13" i="10" s="1"/>
  <c r="K32" i="10"/>
  <c r="K31" i="10"/>
  <c r="E13" i="10"/>
  <c r="E12" i="10"/>
  <c r="E11" i="10"/>
  <c r="E10" i="10"/>
  <c r="E9" i="10"/>
  <c r="E8" i="10"/>
  <c r="E7" i="10"/>
  <c r="E6" i="10"/>
  <c r="E5" i="10"/>
  <c r="E4" i="10"/>
  <c r="E3" i="10"/>
  <c r="S16" i="14" l="1"/>
  <c r="T19" i="14" s="1"/>
  <c r="R16" i="14"/>
  <c r="T3" i="14"/>
  <c r="I37" i="10"/>
  <c r="A1" i="10"/>
  <c r="P61" i="10"/>
  <c r="I36" i="10"/>
  <c r="B31" i="10"/>
  <c r="B36" i="10" s="1"/>
  <c r="B40" i="10" s="1"/>
  <c r="U31" i="10" s="1"/>
  <c r="P64" i="10"/>
  <c r="P63" i="10"/>
  <c r="P62" i="10"/>
  <c r="P60" i="10"/>
  <c r="B12" i="10"/>
  <c r="C12" i="10" s="1"/>
  <c r="B9" i="10"/>
  <c r="F9" i="10" s="1"/>
  <c r="H9" i="10" s="1"/>
  <c r="O9" i="10" s="1"/>
  <c r="B6" i="10"/>
  <c r="C6" i="10" s="1"/>
  <c r="H13" i="10"/>
  <c r="O13" i="10" s="1"/>
  <c r="Q13" i="10" s="1"/>
  <c r="B5" i="10"/>
  <c r="F5" i="10" s="1"/>
  <c r="H5" i="10" s="1"/>
  <c r="O5" i="10" s="1"/>
  <c r="B8" i="10"/>
  <c r="C8" i="10" s="1"/>
  <c r="B27" i="10"/>
  <c r="B26" i="10"/>
  <c r="C26" i="10" s="1"/>
  <c r="B25" i="10"/>
  <c r="C25" i="10" s="1"/>
  <c r="B22" i="10"/>
  <c r="F22" i="10" s="1"/>
  <c r="H22" i="10" s="1"/>
  <c r="B21" i="10"/>
  <c r="F21" i="10" s="1"/>
  <c r="H21" i="10" s="1"/>
  <c r="B18" i="10"/>
  <c r="C18" i="10" s="1"/>
  <c r="B17" i="10"/>
  <c r="C17" i="10" s="1"/>
  <c r="B4" i="10"/>
  <c r="C4" i="10" s="1"/>
  <c r="B3" i="10"/>
  <c r="F3" i="10" s="1"/>
  <c r="H3" i="10" s="1"/>
  <c r="B10" i="10"/>
  <c r="C10" i="10" s="1"/>
  <c r="C13" i="10"/>
  <c r="B20" i="10"/>
  <c r="B19" i="10"/>
  <c r="B24" i="10"/>
  <c r="B23" i="10"/>
  <c r="B16" i="10"/>
  <c r="B15" i="10"/>
  <c r="B14" i="10"/>
  <c r="B7" i="10"/>
  <c r="F7" i="10" s="1"/>
  <c r="H7" i="10" s="1"/>
  <c r="B11" i="10"/>
  <c r="F11" i="10" s="1"/>
  <c r="H11" i="10" s="1"/>
  <c r="B23" i="8"/>
  <c r="U17" i="8" s="1"/>
  <c r="F33" i="10" l="1"/>
  <c r="F37" i="10"/>
  <c r="F34" i="10"/>
  <c r="F35" i="10"/>
  <c r="F36" i="10"/>
  <c r="F32" i="10"/>
  <c r="T16" i="14"/>
  <c r="U3" i="14"/>
  <c r="U16" i="14" s="1"/>
  <c r="T21" i="14" s="1"/>
  <c r="T23" i="14" s="1"/>
  <c r="W4" i="10"/>
  <c r="W6" i="10"/>
  <c r="W8" i="10"/>
  <c r="W10" i="10"/>
  <c r="W12" i="10"/>
  <c r="W14" i="10"/>
  <c r="W16" i="10"/>
  <c r="W18" i="10"/>
  <c r="W20" i="10"/>
  <c r="W22" i="10"/>
  <c r="W24" i="10"/>
  <c r="W26" i="10"/>
  <c r="W5" i="10"/>
  <c r="W7" i="10"/>
  <c r="W9" i="10"/>
  <c r="W11" i="10"/>
  <c r="W13" i="10"/>
  <c r="W15" i="10"/>
  <c r="W17" i="10"/>
  <c r="W19" i="10"/>
  <c r="W21" i="10"/>
  <c r="W23" i="10"/>
  <c r="W25" i="10"/>
  <c r="W27" i="10"/>
  <c r="W3" i="10"/>
  <c r="Q32" i="10"/>
  <c r="P33" i="10"/>
  <c r="P35" i="10"/>
  <c r="P37" i="10"/>
  <c r="P39" i="10"/>
  <c r="P41" i="10"/>
  <c r="P43" i="10"/>
  <c r="P45" i="10"/>
  <c r="P47" i="10"/>
  <c r="P49" i="10"/>
  <c r="P51" i="10"/>
  <c r="P53" i="10"/>
  <c r="P55" i="10"/>
  <c r="P57" i="10"/>
  <c r="Q33" i="10"/>
  <c r="Q35" i="10"/>
  <c r="Q37" i="10"/>
  <c r="Q39" i="10"/>
  <c r="Q41" i="10"/>
  <c r="Q43" i="10"/>
  <c r="Q45" i="10"/>
  <c r="Q47" i="10"/>
  <c r="Q49" i="10"/>
  <c r="Q51" i="10"/>
  <c r="Q53" i="10"/>
  <c r="Q55" i="10"/>
  <c r="Q57" i="10"/>
  <c r="P34" i="10"/>
  <c r="P36" i="10"/>
  <c r="P38" i="10"/>
  <c r="P40" i="10"/>
  <c r="P42" i="10"/>
  <c r="P44" i="10"/>
  <c r="P46" i="10"/>
  <c r="P48" i="10"/>
  <c r="P50" i="10"/>
  <c r="P52" i="10"/>
  <c r="P54" i="10"/>
  <c r="P56" i="10"/>
  <c r="P58" i="10"/>
  <c r="Q34" i="10"/>
  <c r="Q36" i="10"/>
  <c r="Q38" i="10"/>
  <c r="Q40" i="10"/>
  <c r="Q42" i="10"/>
  <c r="Q44" i="10"/>
  <c r="Q46" i="10"/>
  <c r="Q48" i="10"/>
  <c r="Q50" i="10"/>
  <c r="Q52" i="10"/>
  <c r="Q54" i="10"/>
  <c r="Q56" i="10"/>
  <c r="Q58" i="10"/>
  <c r="P32" i="10"/>
  <c r="C9" i="10"/>
  <c r="F12" i="10"/>
  <c r="H12" i="10" s="1"/>
  <c r="O12" i="10" s="1"/>
  <c r="C3" i="10"/>
  <c r="C21" i="10"/>
  <c r="F6" i="10"/>
  <c r="H6" i="10" s="1"/>
  <c r="O6" i="10" s="1"/>
  <c r="F18" i="10"/>
  <c r="H18" i="10" s="1"/>
  <c r="F10" i="10"/>
  <c r="H10" i="10" s="1"/>
  <c r="O10" i="10" s="1"/>
  <c r="Q10" i="10" s="1"/>
  <c r="F17" i="10"/>
  <c r="H17" i="10" s="1"/>
  <c r="O22" i="10"/>
  <c r="Q22" i="10" s="1"/>
  <c r="C22" i="10"/>
  <c r="F4" i="10"/>
  <c r="H4" i="10" s="1"/>
  <c r="O4" i="10" s="1"/>
  <c r="F8" i="10"/>
  <c r="H8" i="10" s="1"/>
  <c r="O21" i="10"/>
  <c r="F25" i="10"/>
  <c r="H25" i="10" s="1"/>
  <c r="C5" i="10"/>
  <c r="F26" i="10"/>
  <c r="H26" i="10" s="1"/>
  <c r="C27" i="10"/>
  <c r="F27" i="10"/>
  <c r="H27" i="10" s="1"/>
  <c r="C14" i="10"/>
  <c r="F14" i="10"/>
  <c r="H14" i="10" s="1"/>
  <c r="C23" i="10"/>
  <c r="F23" i="10"/>
  <c r="H23" i="10" s="1"/>
  <c r="F15" i="10"/>
  <c r="H15" i="10" s="1"/>
  <c r="C15" i="10"/>
  <c r="C24" i="10"/>
  <c r="F24" i="10"/>
  <c r="H24" i="10" s="1"/>
  <c r="C19" i="10"/>
  <c r="F19" i="10"/>
  <c r="H19" i="10" s="1"/>
  <c r="C16" i="10"/>
  <c r="F16" i="10"/>
  <c r="H16" i="10" s="1"/>
  <c r="C20" i="10"/>
  <c r="F20" i="10"/>
  <c r="H20" i="10" s="1"/>
  <c r="O3" i="10"/>
  <c r="Q3" i="10" s="1"/>
  <c r="C11" i="10"/>
  <c r="O7" i="10"/>
  <c r="Q7" i="10" s="1"/>
  <c r="C7" i="10"/>
  <c r="O11" i="10"/>
  <c r="Q11" i="10" s="1"/>
  <c r="Q5" i="10"/>
  <c r="Q9" i="10"/>
  <c r="O31" i="8"/>
  <c r="B18" i="8"/>
  <c r="B7" i="8" s="1"/>
  <c r="F7" i="8" s="1"/>
  <c r="K16" i="8"/>
  <c r="K15" i="8"/>
  <c r="L11" i="8"/>
  <c r="E11" i="8"/>
  <c r="L10" i="8"/>
  <c r="E10" i="8"/>
  <c r="L9" i="8"/>
  <c r="E9" i="8"/>
  <c r="L8" i="8"/>
  <c r="E8" i="8"/>
  <c r="L7" i="8"/>
  <c r="E7" i="8"/>
  <c r="L6" i="8"/>
  <c r="E6" i="8"/>
  <c r="L5" i="8"/>
  <c r="E5" i="8"/>
  <c r="L4" i="8"/>
  <c r="E4" i="8"/>
  <c r="L3" i="8"/>
  <c r="E3" i="8"/>
  <c r="O35" i="7"/>
  <c r="B25" i="7"/>
  <c r="U19" i="7" s="1"/>
  <c r="B20" i="7"/>
  <c r="B13" i="7" s="1"/>
  <c r="F13" i="7" s="1"/>
  <c r="K18" i="7"/>
  <c r="K17" i="7"/>
  <c r="L13" i="7"/>
  <c r="E13" i="7"/>
  <c r="L12" i="7"/>
  <c r="E12" i="7"/>
  <c r="L11" i="7"/>
  <c r="E11" i="7"/>
  <c r="L10" i="7"/>
  <c r="E10" i="7"/>
  <c r="L9" i="7"/>
  <c r="E9" i="7"/>
  <c r="L8" i="7"/>
  <c r="E8" i="7"/>
  <c r="L7" i="7"/>
  <c r="E7" i="7"/>
  <c r="L6" i="7"/>
  <c r="E6" i="7"/>
  <c r="L5" i="7"/>
  <c r="E5" i="7"/>
  <c r="L4" i="7"/>
  <c r="E4" i="7"/>
  <c r="L3" i="7"/>
  <c r="E3" i="7"/>
  <c r="I25" i="3"/>
  <c r="I21" i="8" l="1"/>
  <c r="I23" i="7"/>
  <c r="A1" i="3"/>
  <c r="A1" i="7"/>
  <c r="A1" i="8"/>
  <c r="P30" i="8"/>
  <c r="P34" i="7"/>
  <c r="P38" i="3"/>
  <c r="P28" i="8"/>
  <c r="P29" i="8"/>
  <c r="P26" i="8"/>
  <c r="P27" i="8"/>
  <c r="P32" i="7"/>
  <c r="P33" i="7"/>
  <c r="P30" i="7"/>
  <c r="P31" i="7"/>
  <c r="P36" i="3"/>
  <c r="P37" i="3"/>
  <c r="P35" i="3"/>
  <c r="P34" i="3"/>
  <c r="R54" i="10"/>
  <c r="M23" i="10" s="1"/>
  <c r="N23" i="10" s="1"/>
  <c r="R41" i="10"/>
  <c r="R47" i="10"/>
  <c r="M16" i="10" s="1"/>
  <c r="N16" i="10" s="1"/>
  <c r="R42" i="10"/>
  <c r="R55" i="10"/>
  <c r="M24" i="10" s="1"/>
  <c r="N24" i="10" s="1"/>
  <c r="R52" i="10"/>
  <c r="M21" i="10" s="1"/>
  <c r="R46" i="10"/>
  <c r="M15" i="10" s="1"/>
  <c r="N15" i="10" s="1"/>
  <c r="R56" i="10"/>
  <c r="M25" i="10" s="1"/>
  <c r="N25" i="10" s="1"/>
  <c r="R48" i="10"/>
  <c r="M17" i="10" s="1"/>
  <c r="N17" i="10" s="1"/>
  <c r="R50" i="10"/>
  <c r="M19" i="10" s="1"/>
  <c r="N19" i="10" s="1"/>
  <c r="R57" i="10"/>
  <c r="M26" i="10" s="1"/>
  <c r="N26" i="10" s="1"/>
  <c r="R49" i="10"/>
  <c r="M18" i="10" s="1"/>
  <c r="N18" i="10" s="1"/>
  <c r="R51" i="10"/>
  <c r="M20" i="10" s="1"/>
  <c r="N20" i="10" s="1"/>
  <c r="R58" i="10"/>
  <c r="M27" i="10" s="1"/>
  <c r="N27" i="10" s="1"/>
  <c r="R53" i="10"/>
  <c r="M22" i="10" s="1"/>
  <c r="R45" i="10"/>
  <c r="M14" i="10" s="1"/>
  <c r="N14" i="10" s="1"/>
  <c r="O8" i="10"/>
  <c r="Q8" i="10" s="1"/>
  <c r="O18" i="10"/>
  <c r="O17" i="10"/>
  <c r="O26" i="10"/>
  <c r="Q21" i="10"/>
  <c r="O27" i="10"/>
  <c r="O25" i="10"/>
  <c r="O16" i="10"/>
  <c r="O24" i="10"/>
  <c r="O23" i="10"/>
  <c r="O15" i="10"/>
  <c r="O20" i="10"/>
  <c r="O19" i="10"/>
  <c r="O14" i="10"/>
  <c r="Q14" i="10" s="1"/>
  <c r="R33" i="10"/>
  <c r="R35" i="10"/>
  <c r="R32" i="10"/>
  <c r="R36" i="10"/>
  <c r="R40" i="10"/>
  <c r="Q6" i="10"/>
  <c r="R43" i="10"/>
  <c r="R37" i="10"/>
  <c r="R39" i="10"/>
  <c r="R34" i="10"/>
  <c r="R38" i="10"/>
  <c r="R44" i="10"/>
  <c r="Q4" i="10"/>
  <c r="Q12" i="10"/>
  <c r="B6" i="7"/>
  <c r="F6" i="7" s="1"/>
  <c r="H6" i="7" s="1"/>
  <c r="O6" i="7" s="1"/>
  <c r="B10" i="7"/>
  <c r="F10" i="7" s="1"/>
  <c r="H10" i="7" s="1"/>
  <c r="B4" i="7"/>
  <c r="F4" i="7" s="1"/>
  <c r="H4" i="7" s="1"/>
  <c r="B12" i="7"/>
  <c r="C12" i="7" s="1"/>
  <c r="B8" i="7"/>
  <c r="F8" i="7" s="1"/>
  <c r="H8" i="7" s="1"/>
  <c r="B3" i="7"/>
  <c r="F3" i="7" s="1"/>
  <c r="H3" i="7" s="1"/>
  <c r="B7" i="7"/>
  <c r="F7" i="7" s="1"/>
  <c r="H7" i="7" s="1"/>
  <c r="B11" i="7"/>
  <c r="F11" i="7" s="1"/>
  <c r="H11" i="7" s="1"/>
  <c r="B5" i="7"/>
  <c r="F5" i="7" s="1"/>
  <c r="H5" i="7" s="1"/>
  <c r="B9" i="7"/>
  <c r="F9" i="7" s="1"/>
  <c r="H9" i="7" s="1"/>
  <c r="B3" i="8"/>
  <c r="F3" i="8" s="1"/>
  <c r="H3" i="8" s="1"/>
  <c r="B9" i="8"/>
  <c r="F9" i="8" s="1"/>
  <c r="H9" i="8" s="1"/>
  <c r="O9" i="8" s="1"/>
  <c r="B11" i="8"/>
  <c r="C11" i="8" s="1"/>
  <c r="B5" i="8"/>
  <c r="F5" i="8" s="1"/>
  <c r="H5" i="8" s="1"/>
  <c r="H7" i="8"/>
  <c r="O7" i="8" s="1"/>
  <c r="C7" i="8"/>
  <c r="B4" i="8"/>
  <c r="B6" i="8"/>
  <c r="B8" i="8"/>
  <c r="B10" i="8"/>
  <c r="C13" i="7"/>
  <c r="C10" i="7"/>
  <c r="H13" i="7"/>
  <c r="L4" i="3"/>
  <c r="L5" i="3"/>
  <c r="L6" i="3"/>
  <c r="L7" i="3"/>
  <c r="L8" i="3"/>
  <c r="L9" i="3"/>
  <c r="L10" i="3"/>
  <c r="L11" i="3"/>
  <c r="L12" i="3"/>
  <c r="L13" i="3"/>
  <c r="L14" i="3"/>
  <c r="L15" i="3"/>
  <c r="B27" i="3"/>
  <c r="U21" i="3" s="1"/>
  <c r="O5" i="8" l="1"/>
  <c r="C9" i="7"/>
  <c r="C3" i="7"/>
  <c r="C6" i="7"/>
  <c r="F16" i="8"/>
  <c r="F17" i="8"/>
  <c r="F21" i="8"/>
  <c r="F18" i="8"/>
  <c r="F19" i="8"/>
  <c r="F20" i="8"/>
  <c r="F18" i="7"/>
  <c r="F19" i="7"/>
  <c r="F20" i="7"/>
  <c r="F21" i="7"/>
  <c r="F22" i="7"/>
  <c r="F23" i="7"/>
  <c r="F20" i="3"/>
  <c r="F21" i="3"/>
  <c r="F25" i="3"/>
  <c r="F22" i="3"/>
  <c r="F23" i="3"/>
  <c r="F24" i="3"/>
  <c r="C4" i="7"/>
  <c r="C7" i="7"/>
  <c r="C11" i="7"/>
  <c r="F12" i="7"/>
  <c r="H12" i="7" s="1"/>
  <c r="C8" i="7"/>
  <c r="N21" i="10"/>
  <c r="P21" i="10" s="1"/>
  <c r="V21" i="10" s="1"/>
  <c r="X21" i="10" s="1"/>
  <c r="N22" i="10"/>
  <c r="R22" i="10" s="1"/>
  <c r="P18" i="10"/>
  <c r="V18" i="10" s="1"/>
  <c r="X18" i="10" s="1"/>
  <c r="M13" i="10"/>
  <c r="N13" i="10" s="1"/>
  <c r="M8" i="10"/>
  <c r="N8" i="10" s="1"/>
  <c r="M4" i="10"/>
  <c r="N4" i="10" s="1"/>
  <c r="M11" i="10"/>
  <c r="N11" i="10" s="1"/>
  <c r="M7" i="10"/>
  <c r="N7" i="10" s="1"/>
  <c r="M6" i="10"/>
  <c r="N6" i="10" s="1"/>
  <c r="M9" i="10"/>
  <c r="N9" i="10" s="1"/>
  <c r="M3" i="10"/>
  <c r="N3" i="10" s="1"/>
  <c r="M12" i="10"/>
  <c r="N12" i="10" s="1"/>
  <c r="M5" i="10"/>
  <c r="N5" i="10" s="1"/>
  <c r="P17" i="10"/>
  <c r="V17" i="10" s="1"/>
  <c r="X17" i="10" s="1"/>
  <c r="M10" i="10"/>
  <c r="N10" i="10" s="1"/>
  <c r="Q17" i="10"/>
  <c r="R17" i="10" s="1"/>
  <c r="Q18" i="10"/>
  <c r="R18" i="10" s="1"/>
  <c r="P26" i="10"/>
  <c r="Q26" i="10"/>
  <c r="R26" i="10" s="1"/>
  <c r="Q27" i="10"/>
  <c r="R27" i="10" s="1"/>
  <c r="P27" i="10"/>
  <c r="P25" i="10"/>
  <c r="Q25" i="10"/>
  <c r="R25" i="10" s="1"/>
  <c r="P24" i="10"/>
  <c r="Q24" i="10"/>
  <c r="R24" i="10" s="1"/>
  <c r="P19" i="10"/>
  <c r="Q19" i="10"/>
  <c r="R19" i="10" s="1"/>
  <c r="P23" i="10"/>
  <c r="Q23" i="10"/>
  <c r="R23" i="10" s="1"/>
  <c r="P15" i="10"/>
  <c r="Q15" i="10"/>
  <c r="R15" i="10" s="1"/>
  <c r="Q20" i="10"/>
  <c r="R20" i="10" s="1"/>
  <c r="P20" i="10"/>
  <c r="P16" i="10"/>
  <c r="Q16" i="10"/>
  <c r="R16" i="10" s="1"/>
  <c r="R59" i="10"/>
  <c r="P17" i="8"/>
  <c r="P19" i="8"/>
  <c r="P21" i="8"/>
  <c r="P23" i="8"/>
  <c r="Q17" i="8"/>
  <c r="Q19" i="8"/>
  <c r="Q21" i="8"/>
  <c r="Q23" i="8"/>
  <c r="P18" i="8"/>
  <c r="P20" i="8"/>
  <c r="P22" i="8"/>
  <c r="P24" i="8"/>
  <c r="Q18" i="8"/>
  <c r="Q20" i="8"/>
  <c r="Q22" i="8"/>
  <c r="Q24" i="8"/>
  <c r="Q16" i="8"/>
  <c r="P16" i="8"/>
  <c r="P19" i="7"/>
  <c r="P21" i="7"/>
  <c r="P23" i="7"/>
  <c r="P25" i="7"/>
  <c r="P27" i="7"/>
  <c r="Q28" i="7"/>
  <c r="Q19" i="7"/>
  <c r="Q21" i="7"/>
  <c r="Q23" i="7"/>
  <c r="Q25" i="7"/>
  <c r="Q27" i="7"/>
  <c r="Q22" i="7"/>
  <c r="Q26" i="7"/>
  <c r="P20" i="7"/>
  <c r="P22" i="7"/>
  <c r="P24" i="7"/>
  <c r="P26" i="7"/>
  <c r="P28" i="7"/>
  <c r="Q20" i="7"/>
  <c r="Q24" i="7"/>
  <c r="P18" i="7"/>
  <c r="Q18" i="7"/>
  <c r="Q20" i="3"/>
  <c r="Q21" i="3"/>
  <c r="Q25" i="3"/>
  <c r="Q29" i="3"/>
  <c r="Q22" i="3"/>
  <c r="Q26" i="3"/>
  <c r="Q30" i="3"/>
  <c r="Q28" i="3"/>
  <c r="Q23" i="3"/>
  <c r="Q27" i="3"/>
  <c r="Q31" i="3"/>
  <c r="Q24" i="3"/>
  <c r="Q32" i="3"/>
  <c r="P20" i="3"/>
  <c r="P21" i="3"/>
  <c r="P25" i="3"/>
  <c r="P29" i="3"/>
  <c r="P26" i="3"/>
  <c r="P30" i="3"/>
  <c r="P22" i="3"/>
  <c r="P23" i="3"/>
  <c r="P27" i="3"/>
  <c r="P31" i="3"/>
  <c r="P24" i="3"/>
  <c r="P28" i="3"/>
  <c r="P32" i="3"/>
  <c r="O8" i="7"/>
  <c r="Q8" i="7" s="1"/>
  <c r="C5" i="7"/>
  <c r="O10" i="7"/>
  <c r="Q10" i="7" s="1"/>
  <c r="O4" i="7"/>
  <c r="Q4" i="7" s="1"/>
  <c r="C3" i="8"/>
  <c r="C5" i="8"/>
  <c r="C9" i="8"/>
  <c r="F11" i="8"/>
  <c r="H11" i="8" s="1"/>
  <c r="O11" i="8" s="1"/>
  <c r="O3" i="8"/>
  <c r="C8" i="8"/>
  <c r="F8" i="8"/>
  <c r="H8" i="8" s="1"/>
  <c r="Q7" i="8"/>
  <c r="Q9" i="8"/>
  <c r="C10" i="8"/>
  <c r="F10" i="8"/>
  <c r="H10" i="8" s="1"/>
  <c r="C6" i="8"/>
  <c r="F6" i="8"/>
  <c r="H6" i="8" s="1"/>
  <c r="C4" i="8"/>
  <c r="F4" i="8"/>
  <c r="H4" i="8" s="1"/>
  <c r="Q5" i="8"/>
  <c r="O12" i="7"/>
  <c r="O7" i="7"/>
  <c r="O11" i="7"/>
  <c r="Q6" i="7"/>
  <c r="O5" i="7"/>
  <c r="O9" i="7"/>
  <c r="O3" i="7"/>
  <c r="O13" i="7"/>
  <c r="E3" i="5"/>
  <c r="H6" i="12" s="1"/>
  <c r="E4" i="5"/>
  <c r="H4" i="12" s="1"/>
  <c r="E6" i="5"/>
  <c r="H2" i="12" s="1"/>
  <c r="E5" i="5"/>
  <c r="H3" i="12" s="1"/>
  <c r="E2" i="5"/>
  <c r="H5" i="12" s="1"/>
  <c r="C4" i="5"/>
  <c r="C3" i="5"/>
  <c r="G6" i="12" s="1"/>
  <c r="G11" i="12" s="1"/>
  <c r="C2" i="5"/>
  <c r="C5" i="5"/>
  <c r="G3" i="12" s="1"/>
  <c r="G8" i="12" s="1"/>
  <c r="G5" i="12" l="1"/>
  <c r="G10" i="12" s="1"/>
  <c r="B15" i="8"/>
  <c r="B20" i="8" s="1"/>
  <c r="B24" i="8" s="1"/>
  <c r="U15" i="8" s="1"/>
  <c r="H7" i="12"/>
  <c r="J2" i="12"/>
  <c r="K2" i="12"/>
  <c r="I24" i="3" s="1"/>
  <c r="G4" i="12"/>
  <c r="G9" i="12" s="1"/>
  <c r="B17" i="7"/>
  <c r="B22" i="7" s="1"/>
  <c r="B26" i="7" s="1"/>
  <c r="U17" i="7" s="1"/>
  <c r="H9" i="12"/>
  <c r="J4" i="12"/>
  <c r="K4" i="12" s="1"/>
  <c r="I22" i="7" s="1"/>
  <c r="H8" i="12"/>
  <c r="J3" i="12"/>
  <c r="K3" i="12"/>
  <c r="H10" i="12"/>
  <c r="J10" i="12" s="1"/>
  <c r="K10" i="12" s="1"/>
  <c r="K5" i="12"/>
  <c r="I20" i="8" s="1"/>
  <c r="J5" i="12"/>
  <c r="H11" i="12"/>
  <c r="J11" i="12" s="1"/>
  <c r="K11" i="12" s="1"/>
  <c r="J6" i="12"/>
  <c r="K6" i="12" s="1"/>
  <c r="Q3" i="8"/>
  <c r="T21" i="8" s="1"/>
  <c r="R21" i="10"/>
  <c r="S21" i="10" s="1"/>
  <c r="P22" i="10"/>
  <c r="V22" i="10" s="1"/>
  <c r="X22" i="10" s="1"/>
  <c r="S17" i="10"/>
  <c r="T17" i="10"/>
  <c r="U17" i="10" s="1"/>
  <c r="P5" i="10"/>
  <c r="V5" i="10" s="1"/>
  <c r="X5" i="10" s="1"/>
  <c r="R5" i="10"/>
  <c r="P9" i="10"/>
  <c r="V9" i="10" s="1"/>
  <c r="X9" i="10" s="1"/>
  <c r="R9" i="10"/>
  <c r="P4" i="10"/>
  <c r="V4" i="10" s="1"/>
  <c r="X4" i="10" s="1"/>
  <c r="R4" i="10"/>
  <c r="P12" i="10"/>
  <c r="V12" i="10" s="1"/>
  <c r="X12" i="10" s="1"/>
  <c r="R12" i="10"/>
  <c r="P6" i="10"/>
  <c r="V6" i="10" s="1"/>
  <c r="X6" i="10" s="1"/>
  <c r="R6" i="10"/>
  <c r="P8" i="10"/>
  <c r="V8" i="10" s="1"/>
  <c r="X8" i="10" s="1"/>
  <c r="R8" i="10"/>
  <c r="P11" i="10"/>
  <c r="R11" i="10"/>
  <c r="P3" i="10"/>
  <c r="V3" i="10" s="1"/>
  <c r="X3" i="10" s="1"/>
  <c r="R3" i="10"/>
  <c r="P7" i="10"/>
  <c r="V7" i="10" s="1"/>
  <c r="X7" i="10" s="1"/>
  <c r="R7" i="10"/>
  <c r="P13" i="10"/>
  <c r="V13" i="10" s="1"/>
  <c r="X13" i="10" s="1"/>
  <c r="R13" i="10"/>
  <c r="P10" i="10"/>
  <c r="R10" i="10"/>
  <c r="S18" i="10"/>
  <c r="T18" i="10"/>
  <c r="U18" i="10" s="1"/>
  <c r="T23" i="10"/>
  <c r="U23" i="10" s="1"/>
  <c r="T16" i="10"/>
  <c r="U16" i="10" s="1"/>
  <c r="T15" i="10"/>
  <c r="U15" i="10" s="1"/>
  <c r="T19" i="10"/>
  <c r="U19" i="10" s="1"/>
  <c r="T25" i="10"/>
  <c r="U25" i="10" s="1"/>
  <c r="T24" i="10"/>
  <c r="U24" i="10" s="1"/>
  <c r="T26" i="10"/>
  <c r="U26" i="10" s="1"/>
  <c r="V26" i="10"/>
  <c r="X26" i="10" s="1"/>
  <c r="S26" i="10"/>
  <c r="T27" i="10"/>
  <c r="U27" i="10" s="1"/>
  <c r="S27" i="10"/>
  <c r="V27" i="10"/>
  <c r="X27" i="10" s="1"/>
  <c r="V25" i="10"/>
  <c r="X25" i="10" s="1"/>
  <c r="S25" i="10"/>
  <c r="V16" i="10"/>
  <c r="X16" i="10" s="1"/>
  <c r="S16" i="10"/>
  <c r="S15" i="10"/>
  <c r="V15" i="10"/>
  <c r="X15" i="10" s="1"/>
  <c r="V19" i="10"/>
  <c r="X19" i="10" s="1"/>
  <c r="S19" i="10"/>
  <c r="V20" i="10"/>
  <c r="X20" i="10" s="1"/>
  <c r="S20" i="10"/>
  <c r="T20" i="10"/>
  <c r="U20" i="10" s="1"/>
  <c r="V23" i="10"/>
  <c r="X23" i="10" s="1"/>
  <c r="S23" i="10"/>
  <c r="V24" i="10"/>
  <c r="X24" i="10" s="1"/>
  <c r="S24" i="10"/>
  <c r="P14" i="10"/>
  <c r="R14" i="10"/>
  <c r="B37" i="10"/>
  <c r="R32" i="3"/>
  <c r="R27" i="3"/>
  <c r="M10" i="3" s="1"/>
  <c r="N10" i="3" s="1"/>
  <c r="R20" i="8"/>
  <c r="M7" i="8" s="1"/>
  <c r="R21" i="8"/>
  <c r="M8" i="8" s="1"/>
  <c r="R18" i="8"/>
  <c r="M5" i="8" s="1"/>
  <c r="R22" i="8"/>
  <c r="M9" i="8" s="1"/>
  <c r="R23" i="8"/>
  <c r="M10" i="8" s="1"/>
  <c r="R17" i="8"/>
  <c r="M4" i="8" s="1"/>
  <c r="R24" i="8"/>
  <c r="M11" i="8" s="1"/>
  <c r="R16" i="8"/>
  <c r="M3" i="8" s="1"/>
  <c r="R19" i="8"/>
  <c r="M6" i="8" s="1"/>
  <c r="R24" i="3"/>
  <c r="M7" i="3" s="1"/>
  <c r="N7" i="3" s="1"/>
  <c r="R31" i="3"/>
  <c r="M14" i="3" s="1"/>
  <c r="N14" i="3" s="1"/>
  <c r="R27" i="7"/>
  <c r="M12" i="7" s="1"/>
  <c r="R28" i="3"/>
  <c r="M11" i="3" s="1"/>
  <c r="N11" i="3" s="1"/>
  <c r="R22" i="7"/>
  <c r="M7" i="7" s="1"/>
  <c r="R23" i="3"/>
  <c r="M6" i="3" s="1"/>
  <c r="N6" i="3" s="1"/>
  <c r="O10" i="8"/>
  <c r="O8" i="8"/>
  <c r="O4" i="8"/>
  <c r="O6" i="8"/>
  <c r="Q11" i="8"/>
  <c r="R23" i="7"/>
  <c r="M8" i="7" s="1"/>
  <c r="R20" i="7"/>
  <c r="M5" i="7" s="1"/>
  <c r="R26" i="7"/>
  <c r="M11" i="7" s="1"/>
  <c r="Q13" i="7"/>
  <c r="R18" i="7"/>
  <c r="M3" i="7" s="1"/>
  <c r="R21" i="7"/>
  <c r="M6" i="7" s="1"/>
  <c r="Q3" i="7"/>
  <c r="T23" i="7" s="1"/>
  <c r="R24" i="7"/>
  <c r="M9" i="7" s="1"/>
  <c r="R19" i="7"/>
  <c r="M4" i="7" s="1"/>
  <c r="Q9" i="7"/>
  <c r="Q11" i="7"/>
  <c r="R28" i="7"/>
  <c r="M13" i="7" s="1"/>
  <c r="R25" i="7"/>
  <c r="M10" i="7" s="1"/>
  <c r="Q5" i="7"/>
  <c r="Q7" i="7"/>
  <c r="Q12" i="7"/>
  <c r="R29" i="3"/>
  <c r="M12" i="3" s="1"/>
  <c r="N12" i="3" s="1"/>
  <c r="R25" i="3"/>
  <c r="M8" i="3" s="1"/>
  <c r="N8" i="3" s="1"/>
  <c r="R30" i="3"/>
  <c r="M13" i="3" s="1"/>
  <c r="N13" i="3" s="1"/>
  <c r="R22" i="3"/>
  <c r="M5" i="3" s="1"/>
  <c r="N5" i="3" s="1"/>
  <c r="R26" i="3"/>
  <c r="M9" i="3" s="1"/>
  <c r="N9" i="3" s="1"/>
  <c r="R21" i="3"/>
  <c r="M4" i="3" s="1"/>
  <c r="N4" i="3" s="1"/>
  <c r="R20" i="3"/>
  <c r="M3" i="3" s="1"/>
  <c r="N3" i="3" s="1"/>
  <c r="C6" i="5"/>
  <c r="W3" i="3" l="1"/>
  <c r="W5" i="3"/>
  <c r="W9" i="3"/>
  <c r="W13" i="3"/>
  <c r="W10" i="3"/>
  <c r="W4" i="3"/>
  <c r="W8" i="3"/>
  <c r="W12" i="3"/>
  <c r="W15" i="3"/>
  <c r="W7" i="3"/>
  <c r="W11" i="3"/>
  <c r="W6" i="3"/>
  <c r="W14" i="3"/>
  <c r="W3" i="8"/>
  <c r="W4" i="8"/>
  <c r="W8" i="8"/>
  <c r="W9" i="8"/>
  <c r="W5" i="8"/>
  <c r="W6" i="8"/>
  <c r="W10" i="8"/>
  <c r="W7" i="8"/>
  <c r="W11" i="8"/>
  <c r="J9" i="12"/>
  <c r="K9" i="12" s="1"/>
  <c r="J8" i="12"/>
  <c r="K8" i="12" s="1"/>
  <c r="K7" i="12"/>
  <c r="J7" i="12"/>
  <c r="W3" i="7"/>
  <c r="W5" i="7"/>
  <c r="W10" i="7"/>
  <c r="W4" i="7"/>
  <c r="W9" i="7"/>
  <c r="W7" i="7"/>
  <c r="W12" i="7"/>
  <c r="W8" i="7"/>
  <c r="W13" i="7"/>
  <c r="W11" i="7"/>
  <c r="W6" i="7"/>
  <c r="G2" i="12"/>
  <c r="G7" i="12" s="1"/>
  <c r="B19" i="3"/>
  <c r="T21" i="10"/>
  <c r="U21" i="10" s="1"/>
  <c r="S22" i="10"/>
  <c r="T22" i="10"/>
  <c r="U22" i="10" s="1"/>
  <c r="M15" i="3"/>
  <c r="N15" i="3" s="1"/>
  <c r="T10" i="10"/>
  <c r="U10" i="10" s="1"/>
  <c r="T7" i="10"/>
  <c r="U7" i="10" s="1"/>
  <c r="T11" i="10"/>
  <c r="U11" i="10" s="1"/>
  <c r="T6" i="10"/>
  <c r="U6" i="10" s="1"/>
  <c r="T9" i="10"/>
  <c r="U9" i="10" s="1"/>
  <c r="T13" i="10"/>
  <c r="U13" i="10" s="1"/>
  <c r="S3" i="10"/>
  <c r="T8" i="10"/>
  <c r="U8" i="10" s="1"/>
  <c r="T12" i="10"/>
  <c r="U12" i="10" s="1"/>
  <c r="T4" i="10"/>
  <c r="U4" i="10" s="1"/>
  <c r="S5" i="10"/>
  <c r="S13" i="10"/>
  <c r="T3" i="10"/>
  <c r="U3" i="10" s="1"/>
  <c r="S8" i="10"/>
  <c r="S12" i="10"/>
  <c r="S4" i="10"/>
  <c r="T5" i="10"/>
  <c r="U5" i="10" s="1"/>
  <c r="S9" i="10"/>
  <c r="S7" i="10"/>
  <c r="V10" i="10"/>
  <c r="X10" i="10" s="1"/>
  <c r="S10" i="10"/>
  <c r="V11" i="10"/>
  <c r="X11" i="10" s="1"/>
  <c r="S11" i="10"/>
  <c r="S6" i="10"/>
  <c r="T14" i="10"/>
  <c r="U14" i="10" s="1"/>
  <c r="D20" i="10"/>
  <c r="G20" i="10" s="1"/>
  <c r="D23" i="10"/>
  <c r="G23" i="10" s="1"/>
  <c r="D15" i="10"/>
  <c r="G15" i="10" s="1"/>
  <c r="D22" i="10"/>
  <c r="G22" i="10" s="1"/>
  <c r="D25" i="10"/>
  <c r="G25" i="10" s="1"/>
  <c r="D17" i="10"/>
  <c r="G17" i="10" s="1"/>
  <c r="D24" i="10"/>
  <c r="G24" i="10" s="1"/>
  <c r="D16" i="10"/>
  <c r="G16" i="10" s="1"/>
  <c r="D27" i="10"/>
  <c r="G27" i="10" s="1"/>
  <c r="D14" i="10"/>
  <c r="G14" i="10" s="1"/>
  <c r="D19" i="10"/>
  <c r="G19" i="10" s="1"/>
  <c r="D26" i="10"/>
  <c r="G26" i="10" s="1"/>
  <c r="D18" i="10"/>
  <c r="G18" i="10" s="1"/>
  <c r="D21" i="10"/>
  <c r="G21" i="10" s="1"/>
  <c r="V14" i="10"/>
  <c r="X14" i="10" s="1"/>
  <c r="S14" i="10"/>
  <c r="L31" i="10"/>
  <c r="D5" i="10"/>
  <c r="G5" i="10" s="1"/>
  <c r="D7" i="10"/>
  <c r="G7" i="10" s="1"/>
  <c r="D13" i="10"/>
  <c r="G13" i="10" s="1"/>
  <c r="D8" i="10"/>
  <c r="G8" i="10" s="1"/>
  <c r="D6" i="10"/>
  <c r="G6" i="10" s="1"/>
  <c r="D10" i="10"/>
  <c r="G10" i="10" s="1"/>
  <c r="D11" i="10"/>
  <c r="G11" i="10" s="1"/>
  <c r="D3" i="10"/>
  <c r="G3" i="10" s="1"/>
  <c r="D4" i="10"/>
  <c r="G4" i="10" s="1"/>
  <c r="D9" i="10"/>
  <c r="G9" i="10" s="1"/>
  <c r="D12" i="10"/>
  <c r="G12" i="10" s="1"/>
  <c r="N28" i="10"/>
  <c r="B25" i="3"/>
  <c r="B23" i="7"/>
  <c r="B21" i="8"/>
  <c r="D7" i="8" s="1"/>
  <c r="G7" i="8" s="1"/>
  <c r="N11" i="7"/>
  <c r="N12" i="7"/>
  <c r="N6" i="7"/>
  <c r="N10" i="7"/>
  <c r="N8" i="7"/>
  <c r="N7" i="7"/>
  <c r="N13" i="7"/>
  <c r="N4" i="7"/>
  <c r="N9" i="7"/>
  <c r="N4" i="8"/>
  <c r="P4" i="8" s="1"/>
  <c r="N6" i="8"/>
  <c r="P6" i="8" s="1"/>
  <c r="N10" i="8"/>
  <c r="P10" i="8" s="1"/>
  <c r="N5" i="8"/>
  <c r="N8" i="8"/>
  <c r="P8" i="8" s="1"/>
  <c r="N9" i="8"/>
  <c r="N11" i="8"/>
  <c r="N7" i="8"/>
  <c r="R25" i="8"/>
  <c r="N3" i="8"/>
  <c r="Q6" i="8"/>
  <c r="Q4" i="8"/>
  <c r="Q8" i="8"/>
  <c r="Q10" i="8"/>
  <c r="R29" i="7"/>
  <c r="N3" i="7"/>
  <c r="R3" i="7" s="1"/>
  <c r="R33" i="3"/>
  <c r="I11" i="10" l="1"/>
  <c r="J11" i="10"/>
  <c r="I26" i="10"/>
  <c r="J26" i="10"/>
  <c r="I9" i="10"/>
  <c r="J9" i="10"/>
  <c r="I10" i="10"/>
  <c r="J10" i="10"/>
  <c r="I7" i="10"/>
  <c r="J7" i="10"/>
  <c r="I19" i="10"/>
  <c r="J19" i="10"/>
  <c r="I24" i="10"/>
  <c r="J24" i="10"/>
  <c r="I15" i="10"/>
  <c r="J15" i="10"/>
  <c r="I12" i="10"/>
  <c r="J12" i="10"/>
  <c r="I22" i="10"/>
  <c r="J22" i="10"/>
  <c r="I4" i="10"/>
  <c r="J4" i="10"/>
  <c r="I6" i="10"/>
  <c r="J6" i="10"/>
  <c r="I5" i="10"/>
  <c r="J5" i="10"/>
  <c r="I21" i="10"/>
  <c r="J21" i="10"/>
  <c r="I14" i="10"/>
  <c r="J14" i="10"/>
  <c r="I17" i="10"/>
  <c r="J17" i="10"/>
  <c r="I23" i="10"/>
  <c r="J23" i="10"/>
  <c r="I13" i="10"/>
  <c r="J13" i="10"/>
  <c r="I16" i="10"/>
  <c r="J16" i="10"/>
  <c r="I8" i="10"/>
  <c r="J8" i="10"/>
  <c r="I18" i="10"/>
  <c r="J18" i="10"/>
  <c r="I27" i="10"/>
  <c r="J27" i="10"/>
  <c r="I25" i="10"/>
  <c r="J25" i="10"/>
  <c r="I20" i="10"/>
  <c r="J20" i="10"/>
  <c r="I3" i="10"/>
  <c r="J3" i="10"/>
  <c r="I7" i="8"/>
  <c r="J7" i="8"/>
  <c r="P28" i="10"/>
  <c r="S28" i="10"/>
  <c r="T31" i="10" s="1"/>
  <c r="R28" i="10"/>
  <c r="M31" i="10"/>
  <c r="L32" i="10"/>
  <c r="M32" i="10" s="1"/>
  <c r="D3" i="8"/>
  <c r="G3" i="8" s="1"/>
  <c r="D4" i="8"/>
  <c r="G4" i="8" s="1"/>
  <c r="D10" i="8"/>
  <c r="G10" i="8" s="1"/>
  <c r="D11" i="8"/>
  <c r="G11" i="8" s="1"/>
  <c r="D5" i="8"/>
  <c r="G5" i="8" s="1"/>
  <c r="D6" i="8"/>
  <c r="G6" i="8" s="1"/>
  <c r="D8" i="8"/>
  <c r="G8" i="8" s="1"/>
  <c r="L15" i="8"/>
  <c r="M15" i="8" s="1"/>
  <c r="D9" i="8"/>
  <c r="G9" i="8" s="1"/>
  <c r="N5" i="7"/>
  <c r="P5" i="7" s="1"/>
  <c r="V5" i="7" s="1"/>
  <c r="X5" i="7" s="1"/>
  <c r="P4" i="7"/>
  <c r="V4" i="7" s="1"/>
  <c r="X4" i="7" s="1"/>
  <c r="R4" i="7"/>
  <c r="P10" i="7"/>
  <c r="V10" i="7" s="1"/>
  <c r="X10" i="7" s="1"/>
  <c r="R10" i="7"/>
  <c r="P7" i="7"/>
  <c r="V7" i="7" s="1"/>
  <c r="X7" i="7" s="1"/>
  <c r="R7" i="7"/>
  <c r="P8" i="7"/>
  <c r="V8" i="7" s="1"/>
  <c r="X8" i="7" s="1"/>
  <c r="R8" i="7"/>
  <c r="P6" i="7"/>
  <c r="V6" i="7" s="1"/>
  <c r="X6" i="7" s="1"/>
  <c r="R6" i="7"/>
  <c r="P13" i="7"/>
  <c r="V13" i="7" s="1"/>
  <c r="X13" i="7" s="1"/>
  <c r="R13" i="7"/>
  <c r="P12" i="7"/>
  <c r="V12" i="7" s="1"/>
  <c r="X12" i="7" s="1"/>
  <c r="R12" i="7"/>
  <c r="P9" i="7"/>
  <c r="V9" i="7" s="1"/>
  <c r="X9" i="7" s="1"/>
  <c r="R9" i="7"/>
  <c r="P11" i="7"/>
  <c r="V11" i="7" s="1"/>
  <c r="X11" i="7" s="1"/>
  <c r="R11" i="7"/>
  <c r="P5" i="8"/>
  <c r="V5" i="8" s="1"/>
  <c r="X5" i="8" s="1"/>
  <c r="R5" i="8"/>
  <c r="P11" i="8"/>
  <c r="V11" i="8" s="1"/>
  <c r="X11" i="8" s="1"/>
  <c r="R11" i="8"/>
  <c r="P7" i="8"/>
  <c r="V7" i="8" s="1"/>
  <c r="X7" i="8" s="1"/>
  <c r="R7" i="8"/>
  <c r="P9" i="8"/>
  <c r="R9" i="8"/>
  <c r="R4" i="8"/>
  <c r="S4" i="8" s="1"/>
  <c r="R8" i="8"/>
  <c r="S8" i="8" s="1"/>
  <c r="R6" i="8"/>
  <c r="T6" i="8" s="1"/>
  <c r="U6" i="8" s="1"/>
  <c r="R10" i="8"/>
  <c r="T10" i="8" s="1"/>
  <c r="U10" i="8" s="1"/>
  <c r="V8" i="8"/>
  <c r="X8" i="8" s="1"/>
  <c r="N12" i="8"/>
  <c r="P3" i="8"/>
  <c r="R3" i="8"/>
  <c r="V4" i="8"/>
  <c r="X4" i="8" s="1"/>
  <c r="V6" i="8"/>
  <c r="X6" i="8" s="1"/>
  <c r="V10" i="8"/>
  <c r="X10" i="8" s="1"/>
  <c r="P3" i="7"/>
  <c r="T3" i="7" s="1"/>
  <c r="B24" i="3"/>
  <c r="B28" i="3" s="1"/>
  <c r="U19" i="3" s="1"/>
  <c r="B22" i="3"/>
  <c r="B15" i="3" s="1"/>
  <c r="C15" i="3" s="1"/>
  <c r="K20" i="3"/>
  <c r="L19" i="3"/>
  <c r="L20" i="3" s="1"/>
  <c r="K19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I9" i="8" l="1"/>
  <c r="J9" i="8"/>
  <c r="I5" i="8"/>
  <c r="J5" i="8"/>
  <c r="I11" i="8"/>
  <c r="J11" i="8"/>
  <c r="I8" i="8"/>
  <c r="J8" i="8"/>
  <c r="I10" i="8"/>
  <c r="J10" i="8"/>
  <c r="I6" i="8"/>
  <c r="J6" i="8"/>
  <c r="I4" i="8"/>
  <c r="J4" i="8"/>
  <c r="I3" i="8"/>
  <c r="J3" i="8"/>
  <c r="D15" i="3"/>
  <c r="G15" i="3" s="1"/>
  <c r="T37" i="10"/>
  <c r="U28" i="10"/>
  <c r="T33" i="10" s="1"/>
  <c r="T35" i="10" s="1"/>
  <c r="T28" i="10"/>
  <c r="L16" i="8"/>
  <c r="M16" i="8" s="1"/>
  <c r="N14" i="7"/>
  <c r="R5" i="7"/>
  <c r="T5" i="7" s="1"/>
  <c r="U5" i="7" s="1"/>
  <c r="D8" i="7"/>
  <c r="G8" i="7" s="1"/>
  <c r="D7" i="7"/>
  <c r="G7" i="7" s="1"/>
  <c r="D9" i="7"/>
  <c r="G9" i="7" s="1"/>
  <c r="D6" i="7"/>
  <c r="G6" i="7" s="1"/>
  <c r="D13" i="7"/>
  <c r="G13" i="7" s="1"/>
  <c r="D3" i="7"/>
  <c r="G3" i="7" s="1"/>
  <c r="D5" i="7"/>
  <c r="G5" i="7" s="1"/>
  <c r="L17" i="7"/>
  <c r="D12" i="7"/>
  <c r="G12" i="7" s="1"/>
  <c r="D11" i="7"/>
  <c r="G11" i="7" s="1"/>
  <c r="D4" i="7"/>
  <c r="G4" i="7" s="1"/>
  <c r="D10" i="7"/>
  <c r="G10" i="7" s="1"/>
  <c r="T13" i="7"/>
  <c r="U13" i="7" s="1"/>
  <c r="S6" i="7"/>
  <c r="S11" i="7"/>
  <c r="S10" i="7"/>
  <c r="S4" i="7"/>
  <c r="T11" i="7"/>
  <c r="U11" i="7" s="1"/>
  <c r="S13" i="7"/>
  <c r="T8" i="7"/>
  <c r="U8" i="7" s="1"/>
  <c r="T10" i="7"/>
  <c r="U10" i="7" s="1"/>
  <c r="S8" i="7"/>
  <c r="T9" i="7"/>
  <c r="U9" i="7" s="1"/>
  <c r="S12" i="7"/>
  <c r="T6" i="7"/>
  <c r="U6" i="7" s="1"/>
  <c r="T4" i="7"/>
  <c r="U4" i="7" s="1"/>
  <c r="S7" i="7"/>
  <c r="T7" i="7"/>
  <c r="U7" i="7" s="1"/>
  <c r="S9" i="7"/>
  <c r="T12" i="7"/>
  <c r="U12" i="7" s="1"/>
  <c r="T4" i="8"/>
  <c r="U4" i="8" s="1"/>
  <c r="S10" i="8"/>
  <c r="S6" i="8"/>
  <c r="T7" i="8"/>
  <c r="U7" i="8" s="1"/>
  <c r="T5" i="8"/>
  <c r="U5" i="8" s="1"/>
  <c r="S11" i="8"/>
  <c r="T9" i="8"/>
  <c r="U9" i="8" s="1"/>
  <c r="T8" i="8"/>
  <c r="U8" i="8" s="1"/>
  <c r="T11" i="8"/>
  <c r="U11" i="8" s="1"/>
  <c r="S5" i="8"/>
  <c r="V9" i="8"/>
  <c r="X9" i="8" s="1"/>
  <c r="S9" i="8"/>
  <c r="S7" i="8"/>
  <c r="T3" i="8"/>
  <c r="R12" i="8"/>
  <c r="P12" i="8"/>
  <c r="S3" i="8"/>
  <c r="V3" i="8"/>
  <c r="X3" i="8" s="1"/>
  <c r="U3" i="7"/>
  <c r="P14" i="7"/>
  <c r="V3" i="7"/>
  <c r="X3" i="7" s="1"/>
  <c r="S3" i="7"/>
  <c r="M19" i="3"/>
  <c r="M20" i="3"/>
  <c r="B3" i="3"/>
  <c r="F3" i="3" s="1"/>
  <c r="H3" i="3" s="1"/>
  <c r="B12" i="3"/>
  <c r="F12" i="3" s="1"/>
  <c r="B13" i="3"/>
  <c r="C13" i="3" s="1"/>
  <c r="D13" i="3" s="1"/>
  <c r="G13" i="3" s="1"/>
  <c r="B14" i="3"/>
  <c r="C14" i="3" s="1"/>
  <c r="D14" i="3" s="1"/>
  <c r="G14" i="3" s="1"/>
  <c r="N16" i="3"/>
  <c r="B4" i="3"/>
  <c r="F4" i="3" s="1"/>
  <c r="B5" i="3"/>
  <c r="C5" i="3" s="1"/>
  <c r="D5" i="3" s="1"/>
  <c r="G5" i="3" s="1"/>
  <c r="B6" i="3"/>
  <c r="C6" i="3" s="1"/>
  <c r="D6" i="3" s="1"/>
  <c r="G6" i="3" s="1"/>
  <c r="B7" i="3"/>
  <c r="B8" i="3"/>
  <c r="F8" i="3" s="1"/>
  <c r="B9" i="3"/>
  <c r="C9" i="3" s="1"/>
  <c r="D9" i="3" s="1"/>
  <c r="G9" i="3" s="1"/>
  <c r="B10" i="3"/>
  <c r="C10" i="3" s="1"/>
  <c r="D10" i="3" s="1"/>
  <c r="G10" i="3" s="1"/>
  <c r="B11" i="3"/>
  <c r="F15" i="3"/>
  <c r="J13" i="7" l="1"/>
  <c r="I13" i="7"/>
  <c r="I8" i="7"/>
  <c r="J8" i="7"/>
  <c r="J10" i="7"/>
  <c r="I10" i="7"/>
  <c r="J6" i="7"/>
  <c r="I6" i="7"/>
  <c r="J12" i="7"/>
  <c r="I12" i="7"/>
  <c r="I4" i="7"/>
  <c r="J4" i="7"/>
  <c r="J5" i="7"/>
  <c r="I5" i="7"/>
  <c r="J9" i="7"/>
  <c r="I9" i="7"/>
  <c r="J11" i="7"/>
  <c r="I11" i="7"/>
  <c r="J3" i="7"/>
  <c r="I3" i="7"/>
  <c r="J7" i="7"/>
  <c r="I7" i="7"/>
  <c r="O13" i="3"/>
  <c r="O5" i="3"/>
  <c r="O9" i="3"/>
  <c r="O10" i="3"/>
  <c r="O6" i="3"/>
  <c r="O14" i="3"/>
  <c r="O15" i="3"/>
  <c r="H12" i="3"/>
  <c r="H8" i="3"/>
  <c r="H4" i="3"/>
  <c r="H15" i="3"/>
  <c r="I15" i="3" s="1"/>
  <c r="F13" i="3"/>
  <c r="F6" i="3"/>
  <c r="H6" i="3" s="1"/>
  <c r="I6" i="3" s="1"/>
  <c r="C3" i="3"/>
  <c r="D3" i="3" s="1"/>
  <c r="R14" i="7"/>
  <c r="S5" i="7"/>
  <c r="S14" i="7" s="1"/>
  <c r="T17" i="7" s="1"/>
  <c r="L18" i="7"/>
  <c r="M18" i="7" s="1"/>
  <c r="M17" i="7"/>
  <c r="F9" i="3"/>
  <c r="H9" i="3" s="1"/>
  <c r="I9" i="3" s="1"/>
  <c r="U14" i="7"/>
  <c r="T19" i="7" s="1"/>
  <c r="T14" i="7"/>
  <c r="S12" i="8"/>
  <c r="T15" i="8" s="1"/>
  <c r="T12" i="8"/>
  <c r="U3" i="8"/>
  <c r="U12" i="8" s="1"/>
  <c r="T17" i="8" s="1"/>
  <c r="C12" i="3"/>
  <c r="D12" i="3" s="1"/>
  <c r="G12" i="3" s="1"/>
  <c r="O12" i="3" s="1"/>
  <c r="F10" i="3"/>
  <c r="H10" i="3" s="1"/>
  <c r="I10" i="3" s="1"/>
  <c r="F14" i="3"/>
  <c r="H14" i="3" s="1"/>
  <c r="I14" i="3" s="1"/>
  <c r="C4" i="3"/>
  <c r="D4" i="3" s="1"/>
  <c r="G4" i="3" s="1"/>
  <c r="O4" i="3" s="1"/>
  <c r="F11" i="3"/>
  <c r="H11" i="3" s="1"/>
  <c r="C11" i="3"/>
  <c r="D11" i="3" s="1"/>
  <c r="G11" i="3" s="1"/>
  <c r="F5" i="3"/>
  <c r="H5" i="3" s="1"/>
  <c r="I5" i="3" s="1"/>
  <c r="C8" i="3"/>
  <c r="D8" i="3" s="1"/>
  <c r="G8" i="3" s="1"/>
  <c r="O8" i="3" s="1"/>
  <c r="F7" i="3"/>
  <c r="H7" i="3" s="1"/>
  <c r="C7" i="3"/>
  <c r="D7" i="3" s="1"/>
  <c r="G7" i="3" s="1"/>
  <c r="J15" i="3" l="1"/>
  <c r="J14" i="3"/>
  <c r="J10" i="3"/>
  <c r="J9" i="3"/>
  <c r="J6" i="3"/>
  <c r="J5" i="3"/>
  <c r="P10" i="3"/>
  <c r="Q10" i="3"/>
  <c r="R10" i="3" s="1"/>
  <c r="Q4" i="3"/>
  <c r="R4" i="3" s="1"/>
  <c r="P4" i="3"/>
  <c r="Q12" i="3"/>
  <c r="R12" i="3" s="1"/>
  <c r="P12" i="3"/>
  <c r="P14" i="3"/>
  <c r="Q14" i="3"/>
  <c r="R14" i="3" s="1"/>
  <c r="P5" i="3"/>
  <c r="Q5" i="3"/>
  <c r="R5" i="3" s="1"/>
  <c r="Q15" i="3"/>
  <c r="R15" i="3" s="1"/>
  <c r="P15" i="3"/>
  <c r="P6" i="3"/>
  <c r="Q6" i="3"/>
  <c r="R6" i="3" s="1"/>
  <c r="P9" i="3"/>
  <c r="Q9" i="3"/>
  <c r="R9" i="3" s="1"/>
  <c r="P13" i="3"/>
  <c r="Q13" i="3"/>
  <c r="R13" i="3" s="1"/>
  <c r="Q8" i="3"/>
  <c r="R8" i="3" s="1"/>
  <c r="P8" i="3"/>
  <c r="J7" i="3"/>
  <c r="O7" i="3"/>
  <c r="J11" i="3"/>
  <c r="O11" i="3"/>
  <c r="G3" i="3"/>
  <c r="O3" i="3" s="1"/>
  <c r="I8" i="3"/>
  <c r="J8" i="3"/>
  <c r="I12" i="3"/>
  <c r="J12" i="3"/>
  <c r="I4" i="3"/>
  <c r="J4" i="3"/>
  <c r="H13" i="3"/>
  <c r="I7" i="3"/>
  <c r="I11" i="3"/>
  <c r="T21" i="7"/>
  <c r="T19" i="8"/>
  <c r="I13" i="3" l="1"/>
  <c r="J13" i="3"/>
  <c r="T13" i="3"/>
  <c r="U13" i="3" s="1"/>
  <c r="T6" i="3"/>
  <c r="U6" i="3" s="1"/>
  <c r="T5" i="3"/>
  <c r="U5" i="3" s="1"/>
  <c r="T10" i="3"/>
  <c r="U10" i="3" s="1"/>
  <c r="J3" i="3"/>
  <c r="I3" i="3"/>
  <c r="T9" i="3"/>
  <c r="U9" i="3" s="1"/>
  <c r="T14" i="3"/>
  <c r="U14" i="3" s="1"/>
  <c r="S15" i="3"/>
  <c r="V15" i="3"/>
  <c r="X15" i="3" s="1"/>
  <c r="V4" i="3"/>
  <c r="X4" i="3" s="1"/>
  <c r="S4" i="3"/>
  <c r="T8" i="3"/>
  <c r="U8" i="3" s="1"/>
  <c r="S9" i="3"/>
  <c r="V9" i="3"/>
  <c r="X9" i="3" s="1"/>
  <c r="T15" i="3"/>
  <c r="U15" i="3" s="1"/>
  <c r="V14" i="3"/>
  <c r="X14" i="3" s="1"/>
  <c r="S14" i="3"/>
  <c r="T4" i="3"/>
  <c r="U4" i="3" s="1"/>
  <c r="V12" i="3"/>
  <c r="X12" i="3" s="1"/>
  <c r="S12" i="3"/>
  <c r="Q11" i="3"/>
  <c r="R11" i="3" s="1"/>
  <c r="P11" i="3"/>
  <c r="V8" i="3"/>
  <c r="X8" i="3" s="1"/>
  <c r="S8" i="3"/>
  <c r="Q7" i="3"/>
  <c r="R7" i="3" s="1"/>
  <c r="P7" i="3"/>
  <c r="S13" i="3"/>
  <c r="V13" i="3"/>
  <c r="X13" i="3" s="1"/>
  <c r="S6" i="3"/>
  <c r="V6" i="3"/>
  <c r="X6" i="3" s="1"/>
  <c r="S5" i="3"/>
  <c r="V5" i="3"/>
  <c r="X5" i="3" s="1"/>
  <c r="T12" i="3"/>
  <c r="U12" i="3" s="1"/>
  <c r="V10" i="3"/>
  <c r="X10" i="3" s="1"/>
  <c r="S10" i="3"/>
  <c r="P3" i="3"/>
  <c r="Q3" i="3"/>
  <c r="T7" i="3" l="1"/>
  <c r="U7" i="3" s="1"/>
  <c r="T11" i="3"/>
  <c r="U11" i="3" s="1"/>
  <c r="V7" i="3"/>
  <c r="X7" i="3" s="1"/>
  <c r="S7" i="3"/>
  <c r="V11" i="3"/>
  <c r="X11" i="3" s="1"/>
  <c r="S11" i="3"/>
  <c r="R3" i="3"/>
  <c r="T3" i="3" s="1"/>
  <c r="U3" i="3" s="1"/>
  <c r="T25" i="3"/>
  <c r="V3" i="3"/>
  <c r="X3" i="3" s="1"/>
  <c r="S3" i="3" l="1"/>
  <c r="P16" i="3"/>
  <c r="R16" i="3"/>
  <c r="U16" i="3" l="1"/>
  <c r="T21" i="3" s="1"/>
  <c r="T16" i="3"/>
  <c r="S16" i="3"/>
  <c r="T19" i="3" s="1"/>
  <c r="T23" i="3" l="1"/>
</calcChain>
</file>

<file path=xl/sharedStrings.xml><?xml version="1.0" encoding="utf-8"?>
<sst xmlns="http://schemas.openxmlformats.org/spreadsheetml/2006/main" count="659" uniqueCount="164">
  <si>
    <t>http://airfoiltools.com/airfoil/details?airfoil=naca2411-il</t>
  </si>
  <si>
    <t>THIS IS HALF-LENGTH MODEL</t>
  </si>
  <si>
    <t>r</t>
  </si>
  <si>
    <t>v_tan</t>
  </si>
  <si>
    <t>v_chord</t>
  </si>
  <si>
    <t>Re_local</t>
  </si>
  <si>
    <t>α_err %</t>
  </si>
  <si>
    <t>Pitch (m)</t>
  </si>
  <si>
    <t>R</t>
  </si>
  <si>
    <t>m</t>
  </si>
  <si>
    <t>Chord</t>
  </si>
  <si>
    <t>CL</t>
  </si>
  <si>
    <t>CD</t>
  </si>
  <si>
    <t>v_str</t>
  </si>
  <si>
    <t>m/s</t>
  </si>
  <si>
    <t>f</t>
  </si>
  <si>
    <t>rps</t>
  </si>
  <si>
    <t>ω</t>
  </si>
  <si>
    <t>rad/s</t>
  </si>
  <si>
    <t>R_hub</t>
  </si>
  <si>
    <t>D</t>
  </si>
  <si>
    <t>c (chord)</t>
  </si>
  <si>
    <t>Pitch</t>
  </si>
  <si>
    <t>P/D</t>
  </si>
  <si>
    <t>k1</t>
  </si>
  <si>
    <t>k2</t>
  </si>
  <si>
    <t>v</t>
  </si>
  <si>
    <t>mu</t>
  </si>
  <si>
    <t>nu</t>
  </si>
  <si>
    <t>c</t>
  </si>
  <si>
    <t>NACA 2411 best angle</t>
  </si>
  <si>
    <t>Re</t>
  </si>
  <si>
    <t>α_best</t>
  </si>
  <si>
    <t>Deviation</t>
  </si>
  <si>
    <t>Paul</t>
  </si>
  <si>
    <t>Stephen</t>
  </si>
  <si>
    <t>Devin</t>
  </si>
  <si>
    <t>Isaac</t>
  </si>
  <si>
    <t>Kevin</t>
  </si>
  <si>
    <t>Span</t>
  </si>
  <si>
    <t>Skew</t>
  </si>
  <si>
    <t>Airfoil</t>
  </si>
  <si>
    <t>1/2 Span</t>
  </si>
  <si>
    <t>1/2 Chord</t>
  </si>
  <si>
    <t>0-10°</t>
  </si>
  <si>
    <t>20-30°</t>
  </si>
  <si>
    <t>a</t>
  </si>
  <si>
    <t>R^2</t>
  </si>
  <si>
    <t>and</t>
  </si>
  <si>
    <t>bL</t>
  </si>
  <si>
    <t>bT</t>
  </si>
  <si>
    <t>(dimension is cm)</t>
  </si>
  <si>
    <t>Pitch (avg)</t>
  </si>
  <si>
    <t>ρ_water</t>
  </si>
  <si>
    <t>β_geo</t>
  </si>
  <si>
    <t>β_hydro</t>
  </si>
  <si>
    <t>α (°)</t>
  </si>
  <si>
    <t>Pitch (des.)</t>
  </si>
  <si>
    <t>Lift (N)</t>
  </si>
  <si>
    <t>Drag (N)</t>
  </si>
  <si>
    <t>Thrust (N)</t>
  </si>
  <si>
    <t>"F to spin" (N)</t>
  </si>
  <si>
    <t>Torque (Nm)</t>
  </si>
  <si>
    <t>Pressure (Pa)</t>
  </si>
  <si>
    <t>c_top</t>
  </si>
  <si>
    <t>r (or b)</t>
  </si>
  <si>
    <t>c_bot</t>
  </si>
  <si>
    <t>q</t>
  </si>
  <si>
    <t>bLead</t>
  </si>
  <si>
    <t>bTrail</t>
  </si>
  <si>
    <t>x - span axis</t>
  </si>
  <si>
    <t>y - chord axis</t>
  </si>
  <si>
    <t>a - x-coefficient</t>
  </si>
  <si>
    <t>q - translational value</t>
  </si>
  <si>
    <t>bL - y-coefficient, leading edge</t>
  </si>
  <si>
    <t>bT - y-coefficient, trailing edge</t>
  </si>
  <si>
    <t>R^2 - RHS "sum"</t>
  </si>
  <si>
    <t>Elliptical Coords (in cm!)</t>
  </si>
  <si>
    <t>c_total (m!)</t>
  </si>
  <si>
    <t>avg</t>
  </si>
  <si>
    <t>Plan Area (m^2)</t>
  </si>
  <si>
    <t>(by strips chordwise, along span)</t>
  </si>
  <si>
    <t>Pow_thr (W)</t>
  </si>
  <si>
    <t>Pow_req (W)</t>
  </si>
  <si>
    <t>Efficiency</t>
  </si>
  <si>
    <t>This part</t>
  </si>
  <si>
    <t>of the blade</t>
  </si>
  <si>
    <t>is doing the</t>
  </si>
  <si>
    <t>most work</t>
  </si>
  <si>
    <t>Note: halfsize</t>
  </si>
  <si>
    <t>Chord (m)</t>
  </si>
  <si>
    <t>want 0.8-1.1</t>
  </si>
  <si>
    <t>CL/CD</t>
  </si>
  <si>
    <t>FULL SIZE</t>
  </si>
  <si>
    <t>HALFSIZE VALUES</t>
  </si>
  <si>
    <t>Devin and Stephen</t>
  </si>
  <si>
    <t>Kevin and Paul</t>
  </si>
  <si>
    <t>Paul-half</t>
  </si>
  <si>
    <t>Kevin-half</t>
  </si>
  <si>
    <t>Isaac-half</t>
  </si>
  <si>
    <t>Stephen-half</t>
  </si>
  <si>
    <t>Devin-half</t>
  </si>
  <si>
    <t>Paul-full</t>
  </si>
  <si>
    <t>Kevin-full</t>
  </si>
  <si>
    <t>Isaac-full</t>
  </si>
  <si>
    <t>Stephen-full</t>
  </si>
  <si>
    <t>Devin-full</t>
  </si>
  <si>
    <t>P/D Ratio</t>
  </si>
  <si>
    <t>Avg Pitch (m)</t>
  </si>
  <si>
    <t>Material</t>
  </si>
  <si>
    <t>CF + Epoxy</t>
  </si>
  <si>
    <t>PLA</t>
  </si>
  <si>
    <t>ABS</t>
  </si>
  <si>
    <t>Note</t>
  </si>
  <si>
    <t>300-900 MPa</t>
  </si>
  <si>
    <t>CF</t>
  </si>
  <si>
    <t>Ultimate Tensile</t>
  </si>
  <si>
    <t>Strength (Pa)</t>
  </si>
  <si>
    <t>Young's</t>
  </si>
  <si>
    <t>Modulus (Pa)</t>
  </si>
  <si>
    <t>Area, Ix (m^4)</t>
  </si>
  <si>
    <t>L = R (m)</t>
  </si>
  <si>
    <t>b = c (m)</t>
  </si>
  <si>
    <t>h_avg = t_avg (m)</t>
  </si>
  <si>
    <t>P_max (Pa)</t>
  </si>
  <si>
    <t>E_PLA</t>
  </si>
  <si>
    <t>Pa</t>
  </si>
  <si>
    <t>Ix</t>
  </si>
  <si>
    <t>m^4</t>
  </si>
  <si>
    <t>δ_max</t>
  </si>
  <si>
    <t>δ_max (m)</t>
  </si>
  <si>
    <t>L</t>
  </si>
  <si>
    <t>P_Check</t>
  </si>
  <si>
    <t>E_CF</t>
  </si>
  <si>
    <t>If k1 and k2 taken as reliable, then</t>
  </si>
  <si>
    <t>But what about airfoil variation?</t>
  </si>
  <si>
    <t xml:space="preserve">α_Re (°) </t>
  </si>
  <si>
    <t xml:space="preserve">α (°) </t>
  </si>
  <si>
    <t>α1 - α2</t>
  </si>
  <si>
    <t>halfsize</t>
  </si>
  <si>
    <t>r/R (%)</t>
  </si>
  <si>
    <t>1/4 chord "height"</t>
  </si>
  <si>
    <t>Translating quarter-chord rotation point downward, to get a propeller shape, rather than a "batwing"</t>
  </si>
  <si>
    <t>Use 1/5 chord - atan(r/R)</t>
  </si>
  <si>
    <t>chord</t>
  </si>
  <si>
    <t>max drop</t>
  </si>
  <si>
    <t xml:space="preserve">Best angles of attack, giving the highest CL/CD ratio. N_crit is a turbulence factor. 9 is "considered standard", meaning not much instability. </t>
  </si>
  <si>
    <t>"Center drop"</t>
  </si>
  <si>
    <t>NACA 4415 best angle</t>
  </si>
  <si>
    <t>α_safe</t>
  </si>
  <si>
    <t>NACA 2411 best angle for CL/CD</t>
  </si>
  <si>
    <t>NACA 4415 best angle for CL/CD</t>
  </si>
  <si>
    <t>Pitch Deviation</t>
  </si>
  <si>
    <t>If you want to try to get different results, make copies of the tab (within the spreadsheet - it has numerous dependencies on other tabs)</t>
  </si>
  <si>
    <t>Ctrl-Shift-G will Goalseek all the pitches and alphas for you, quickly and conveniently. Just be on the tab you want.</t>
  </si>
  <si>
    <t>Check the green-and-yellow summary at bottom right. We'd like P/D = 0.8-1.1; efficiency &gt; 0.6 (if possible), and pitch (for mini-props) &gt; 0.3m</t>
  </si>
  <si>
    <t>Check "Pressure Check" in column X, that you're not going to break off a wing. I was conservative in my calculations, but leave some wiggle room….</t>
  </si>
  <si>
    <t>After Goalseek, you need to adjust desire pitch ("Pitch des.") manually, to be close to the average pitch. Cell B20-something. This is to check your pitch deviation, which you want to be reasonably small (-5% to 5%?). Don't worry as much about the hub deviation as the near-tip deviation (i.e., keep it small, which could help with the pressure check, below, anyway).</t>
  </si>
  <si>
    <t>You will need a record of the parameters of the blade set you print! Even if they don't end up working, we still need to see deviations!</t>
  </si>
  <si>
    <t>Take your ordinates - r and β_geo, plus your ellipse equations - from your "Name-half" tab, for the CAD design. Ellipse equations can be found on tab 1, or columns P &amp; Q on your named tab.</t>
  </si>
  <si>
    <t>Notice I have changed rotational speed and v_str slightly. You can, too. And if you want higher efficiency, you can lower the angles of attack (try to do so smoothly - i.e., graph to check curve). LOWER THE ANGLES OF ATTACK ONLY IN THE NACA BEST ANGLE TABLE (notice Reynolds numbers, first, because you'll realistically only need to change 1-3 angles in the table). Note, from the "AofAs" tab, that I've already made the best angles more conservative ("α_safe").</t>
  </si>
  <si>
    <t>Take your twist, radial ordinates, and two elliptical curve equations out of excel into a text file, and into Paul's Matlab program, and CAD a prop in &lt; 10 minutes!</t>
  </si>
  <si>
    <t>If you want more accuracy in Goalseek (which I always do), then go File --&gt; Options --&gt; Formulas --&gt; "Maximum Change" and make the decimal 1E-6 or smaller.</t>
  </si>
  <si>
    <t>TwistAngle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</si>
</sst>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000"/>
    <numFmt numFmtId="166" formatCode="0.000"/>
    <numFmt numFmtId="167" formatCode="0.0%"/>
    <numFmt numFmtId="168" formatCode="0.000E+00"/>
    <numFmt numFmtId="169" formatCode="0.0E+00"/>
    <numFmt numFmtId="170" formatCode="0.000000"/>
    <numFmt numFmtId="171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Fill="1"/>
    <xf numFmtId="0" fontId="2" fillId="0" borderId="0" xfId="0" applyFont="1"/>
    <xf numFmtId="0" fontId="2" fillId="0" borderId="0" xfId="0" quotePrefix="1" applyFont="1"/>
    <xf numFmtId="0" fontId="0" fillId="3" borderId="1" xfId="0" applyFill="1" applyBorder="1"/>
    <xf numFmtId="0" fontId="0" fillId="0" borderId="0" xfId="0" applyFill="1" applyBorder="1"/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0" borderId="1" xfId="0" applyBorder="1"/>
    <xf numFmtId="165" fontId="2" fillId="0" borderId="0" xfId="0" applyNumberFormat="1" applyFont="1"/>
    <xf numFmtId="2" fontId="2" fillId="0" borderId="0" xfId="0" applyNumberFormat="1" applyFont="1"/>
    <xf numFmtId="167" fontId="0" fillId="0" borderId="0" xfId="1" applyNumberFormat="1" applyFont="1"/>
    <xf numFmtId="11" fontId="0" fillId="0" borderId="1" xfId="0" applyNumberFormat="1" applyBorder="1"/>
    <xf numFmtId="0" fontId="2" fillId="0" borderId="0" xfId="0" applyFont="1" applyFill="1"/>
    <xf numFmtId="0" fontId="2" fillId="0" borderId="0" xfId="0" applyFont="1" applyFill="1" applyBorder="1"/>
    <xf numFmtId="166" fontId="0" fillId="0" borderId="0" xfId="0" applyNumberFormat="1" applyFill="1" applyBorder="1"/>
    <xf numFmtId="0" fontId="0" fillId="0" borderId="0" xfId="0"/>
    <xf numFmtId="0" fontId="0" fillId="4" borderId="1" xfId="0" applyFill="1" applyBorder="1"/>
    <xf numFmtId="0" fontId="0" fillId="0" borderId="1" xfId="0" applyFill="1" applyBorder="1"/>
    <xf numFmtId="2" fontId="0" fillId="0" borderId="1" xfId="0" applyNumberFormat="1" applyFill="1" applyBorder="1"/>
    <xf numFmtId="166" fontId="0" fillId="3" borderId="1" xfId="0" applyNumberFormat="1" applyFill="1" applyBorder="1"/>
    <xf numFmtId="168" fontId="0" fillId="0" borderId="1" xfId="0" applyNumberFormat="1" applyBorder="1"/>
    <xf numFmtId="0" fontId="0" fillId="3" borderId="0" xfId="0" applyFill="1"/>
    <xf numFmtId="0" fontId="0" fillId="5" borderId="1" xfId="0" applyFill="1" applyBorder="1"/>
    <xf numFmtId="0" fontId="2" fillId="5" borderId="1" xfId="0" applyFont="1" applyFill="1" applyBorder="1"/>
    <xf numFmtId="0" fontId="4" fillId="4" borderId="1" xfId="0" applyFont="1" applyFill="1" applyBorder="1"/>
    <xf numFmtId="0" fontId="2" fillId="5" borderId="2" xfId="0" applyFont="1" applyFill="1" applyBorder="1"/>
    <xf numFmtId="0" fontId="0" fillId="4" borderId="2" xfId="0" applyFill="1" applyBorder="1" applyAlignment="1">
      <alignment horizontal="right"/>
    </xf>
    <xf numFmtId="166" fontId="2" fillId="0" borderId="0" xfId="0" applyNumberFormat="1" applyFont="1"/>
    <xf numFmtId="2" fontId="0" fillId="6" borderId="0" xfId="0" applyNumberFormat="1" applyFill="1"/>
    <xf numFmtId="0" fontId="2" fillId="8" borderId="1" xfId="0" applyFont="1" applyFill="1" applyBorder="1"/>
    <xf numFmtId="0" fontId="0" fillId="6" borderId="0" xfId="0" applyFill="1"/>
    <xf numFmtId="166" fontId="0" fillId="0" borderId="1" xfId="0" applyNumberFormat="1" applyBorder="1"/>
    <xf numFmtId="2" fontId="2" fillId="8" borderId="1" xfId="0" applyNumberFormat="1" applyFont="1" applyFill="1" applyBorder="1"/>
    <xf numFmtId="164" fontId="2" fillId="8" borderId="1" xfId="0" applyNumberFormat="1" applyFont="1" applyFill="1" applyBorder="1"/>
    <xf numFmtId="166" fontId="2" fillId="8" borderId="1" xfId="0" applyNumberFormat="1" applyFont="1" applyFill="1" applyBorder="1"/>
    <xf numFmtId="0" fontId="2" fillId="5" borderId="1" xfId="0" applyFont="1" applyFill="1" applyBorder="1" applyAlignment="1">
      <alignment horizontal="center"/>
    </xf>
    <xf numFmtId="0" fontId="2" fillId="7" borderId="0" xfId="0" applyFont="1" applyFill="1"/>
    <xf numFmtId="166" fontId="0" fillId="6" borderId="0" xfId="0" applyNumberFormat="1" applyFill="1"/>
    <xf numFmtId="0" fontId="2" fillId="5" borderId="1" xfId="0" applyFont="1" applyFill="1" applyBorder="1" applyAlignment="1">
      <alignment horizontal="center"/>
    </xf>
    <xf numFmtId="165" fontId="0" fillId="0" borderId="1" xfId="0" applyNumberFormat="1" applyBorder="1"/>
    <xf numFmtId="166" fontId="0" fillId="0" borderId="1" xfId="0" applyNumberFormat="1" applyFill="1" applyBorder="1"/>
    <xf numFmtId="2" fontId="0" fillId="0" borderId="0" xfId="0" applyNumberFormat="1" applyFill="1"/>
    <xf numFmtId="166" fontId="0" fillId="0" borderId="0" xfId="0" applyNumberFormat="1" applyFill="1"/>
    <xf numFmtId="0" fontId="0" fillId="9" borderId="1" xfId="0" applyFill="1" applyBorder="1"/>
    <xf numFmtId="0" fontId="2" fillId="9" borderId="1" xfId="0" applyFont="1" applyFill="1" applyBorder="1"/>
    <xf numFmtId="0" fontId="2" fillId="10" borderId="1" xfId="0" applyFont="1" applyFill="1" applyBorder="1"/>
    <xf numFmtId="2" fontId="2" fillId="10" borderId="1" xfId="0" applyNumberFormat="1" applyFont="1" applyFill="1" applyBorder="1"/>
    <xf numFmtId="0" fontId="2" fillId="5" borderId="1" xfId="0" applyFont="1" applyFill="1" applyBorder="1" applyAlignment="1">
      <alignment horizontal="center"/>
    </xf>
    <xf numFmtId="169" fontId="0" fillId="0" borderId="0" xfId="0" applyNumberFormat="1"/>
    <xf numFmtId="0" fontId="2" fillId="0" borderId="1" xfId="0" applyFont="1" applyBorder="1"/>
    <xf numFmtId="169" fontId="0" fillId="0" borderId="1" xfId="0" applyNumberFormat="1" applyBorder="1"/>
    <xf numFmtId="166" fontId="0" fillId="7" borderId="0" xfId="0" applyNumberFormat="1" applyFill="1"/>
    <xf numFmtId="164" fontId="0" fillId="0" borderId="1" xfId="0" applyNumberFormat="1" applyBorder="1"/>
    <xf numFmtId="1" fontId="0" fillId="0" borderId="0" xfId="0" applyNumberFormat="1"/>
    <xf numFmtId="2" fontId="2" fillId="0" borderId="0" xfId="0" applyNumberFormat="1" applyFont="1" applyFill="1" applyBorder="1"/>
    <xf numFmtId="0" fontId="2" fillId="0" borderId="5" xfId="0" applyFont="1" applyFill="1" applyBorder="1"/>
    <xf numFmtId="0" fontId="0" fillId="0" borderId="5" xfId="0" applyFill="1" applyBorder="1" applyAlignment="1">
      <alignment horizontal="right"/>
    </xf>
    <xf numFmtId="3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2" fontId="0" fillId="0" borderId="1" xfId="0" applyNumberFormat="1" applyBorder="1"/>
    <xf numFmtId="170" fontId="0" fillId="0" borderId="0" xfId="0" applyNumberFormat="1"/>
    <xf numFmtId="171" fontId="0" fillId="0" borderId="0" xfId="0" applyNumberFormat="1"/>
    <xf numFmtId="165" fontId="0" fillId="0" borderId="0" xfId="0" applyNumberFormat="1"/>
    <xf numFmtId="0" fontId="6" fillId="0" borderId="1" xfId="0" applyFont="1" applyBorder="1"/>
    <xf numFmtId="1" fontId="0" fillId="0" borderId="7" xfId="0" applyNumberFormat="1" applyBorder="1"/>
    <xf numFmtId="11" fontId="0" fillId="0" borderId="7" xfId="0" applyNumberFormat="1" applyBorder="1"/>
    <xf numFmtId="0" fontId="0" fillId="0" borderId="7" xfId="0" applyBorder="1"/>
    <xf numFmtId="11" fontId="0" fillId="0" borderId="8" xfId="0" applyNumberFormat="1" applyBorder="1"/>
    <xf numFmtId="0" fontId="0" fillId="0" borderId="8" xfId="0" applyBorder="1"/>
    <xf numFmtId="0" fontId="2" fillId="0" borderId="0" xfId="0" applyFont="1" applyAlignment="1">
      <alignment vertical="center"/>
    </xf>
    <xf numFmtId="2" fontId="0" fillId="0" borderId="1" xfId="0" applyNumberFormat="1" applyBorder="1" applyAlignment="1">
      <alignment wrapText="1"/>
    </xf>
    <xf numFmtId="1" fontId="2" fillId="0" borderId="1" xfId="0" applyNumberFormat="1" applyFont="1" applyBorder="1" applyAlignment="1">
      <alignment horizontal="center" vertical="center"/>
    </xf>
    <xf numFmtId="2" fontId="0" fillId="3" borderId="0" xfId="0" applyNumberFormat="1" applyFill="1" applyBorder="1" applyAlignment="1">
      <alignment wrapText="1"/>
    </xf>
    <xf numFmtId="2" fontId="0" fillId="5" borderId="1" xfId="0" applyNumberFormat="1" applyFill="1" applyBorder="1" applyAlignment="1">
      <alignment wrapText="1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2" fontId="0" fillId="0" borderId="1" xfId="0" applyNumberFormat="1" applyFill="1" applyBorder="1" applyAlignment="1">
      <alignment wrapText="1"/>
    </xf>
    <xf numFmtId="0" fontId="3" fillId="0" borderId="0" xfId="0" applyFont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4" xfId="0" applyFill="1" applyBorder="1" applyAlignment="1">
      <alignment horizontal="left"/>
    </xf>
    <xf numFmtId="0" fontId="2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2" fillId="0" borderId="0" xfId="0" applyFont="1" applyFill="1" applyAlignment="1">
      <alignment horizontal="center" wrapText="1"/>
    </xf>
    <xf numFmtId="0" fontId="3" fillId="0" borderId="0" xfId="0" applyFont="1" applyAlignment="1">
      <alignment horizontal="center"/>
    </xf>
    <xf numFmtId="0" fontId="2" fillId="5" borderId="0" xfId="0" applyFont="1" applyFill="1" applyBorder="1" applyAlignment="1">
      <alignment horizontal="center"/>
    </xf>
    <xf numFmtId="1" fontId="0" fillId="0" borderId="9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PaulFunction!$A$2:$A$10</c:f>
              <c:numCache>
                <c:formatCode>General</c:formatCode>
                <c:ptCount val="9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</c:numCache>
            </c:numRef>
          </c:xVal>
          <c:yVal>
            <c:numRef>
              <c:f>PaulFunction!$B$2:$B$10</c:f>
              <c:numCache>
                <c:formatCode>0.0</c:formatCode>
                <c:ptCount val="9"/>
                <c:pt idx="0">
                  <c:v>71.768362715016451</c:v>
                </c:pt>
                <c:pt idx="1">
                  <c:v>61.745100910319316</c:v>
                </c:pt>
                <c:pt idx="2">
                  <c:v>53.696192692481958</c:v>
                </c:pt>
                <c:pt idx="3">
                  <c:v>47.325475095654028</c:v>
                </c:pt>
                <c:pt idx="4">
                  <c:v>41.773881390583632</c:v>
                </c:pt>
                <c:pt idx="5">
                  <c:v>37.728623688943053</c:v>
                </c:pt>
                <c:pt idx="6">
                  <c:v>34.446687168768506</c:v>
                </c:pt>
                <c:pt idx="7">
                  <c:v>31.747168124669379</c:v>
                </c:pt>
                <c:pt idx="8">
                  <c:v>29.497007634214889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B-44D5-9276-47BF5F9E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62432"/>
        <c:axId val="356845216"/>
      </c:scatterChart>
      <c:valAx>
        <c:axId val="48546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845216"/>
        <c:crosses val="autoZero"/>
        <c:crossBetween val="midCat"/>
      </c:valAx>
      <c:valAx>
        <c:axId val="35684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47626</xdr:colOff>
      <xdr:row>0</xdr:row>
      <xdr:rowOff>21477</xdr:rowOff>
    </xdr:from>
    <xdr:to>
      <xdr:col>19</xdr:col>
      <xdr:colOff>523875</xdr:colOff>
      <xdr:row>11</xdr:row>
      <xdr:rowOff>61833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009858-103A-4CBF-A827-FE3A9AE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1" y="21477"/>
          <a:ext cx="6572249" cy="2135856"/>
        </a:xfrm>
        <a:prstGeom prst="rect">
          <a:avLst/>
        </a:prstGeom>
      </xdr:spPr>
    </xdr:pic>
    <xdr:clientData/>
  </xdr:twoCellAnchor>
  <xdr:twoCellAnchor editAs="oneCell">
    <xdr:from>
      <xdr:col>9</xdr:col>
      <xdr:colOff>68614</xdr:colOff>
      <xdr:row>22</xdr:row>
      <xdr:rowOff>152399</xdr:rowOff>
    </xdr:from>
    <xdr:to>
      <xdr:col>19</xdr:col>
      <xdr:colOff>80722</xdr:colOff>
      <xdr:row>30</xdr:row>
      <xdr:rowOff>161924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ECB5B88-3B38-4449-9C86-2B8A0748F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1839" y="4343399"/>
          <a:ext cx="6108108" cy="1533525"/>
        </a:xfrm>
        <a:prstGeom prst="rect">
          <a:avLst/>
        </a:prstGeom>
      </xdr:spPr>
    </xdr:pic>
    <xdr:clientData/>
  </xdr:twoCellAnchor>
  <xdr:twoCellAnchor editAs="oneCell">
    <xdr:from>
      <xdr:col>9</xdr:col>
      <xdr:colOff>76199</xdr:colOff>
      <xdr:row>11</xdr:row>
      <xdr:rowOff>171450</xdr:rowOff>
    </xdr:from>
    <xdr:to>
      <xdr:col>19</xdr:col>
      <xdr:colOff>51581</xdr:colOff>
      <xdr:row>21</xdr:row>
      <xdr:rowOff>35115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D7155A-2B76-4249-98E6-616383892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91349" y="2266950"/>
          <a:ext cx="6071382" cy="176866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117759</xdr:rowOff>
    </xdr:from>
    <xdr:to>
      <xdr:col>7</xdr:col>
      <xdr:colOff>1323975</xdr:colOff>
      <xdr:row>33</xdr:row>
      <xdr:rowOff>28109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71D58EB-7FC0-495D-86C3-FD3AE1863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75" y="4499259"/>
          <a:ext cx="5543550" cy="1815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35304</xdr:rowOff>
    </xdr:from>
    <xdr:to>
      <xdr:col>7</xdr:col>
      <xdr:colOff>756803</xdr:colOff>
      <xdr:row>44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3A0B597-03D9-4731-8EDF-8755AAE07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702804"/>
          <a:ext cx="5004953" cy="171729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46</xdr:row>
      <xdr:rowOff>1</xdr:rowOff>
    </xdr:from>
    <xdr:to>
      <xdr:col>7</xdr:col>
      <xdr:colOff>781050</xdr:colOff>
      <xdr:row>54</xdr:row>
      <xdr:rowOff>180497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690F1C9-A7B5-4860-8093-FF38F9BF6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" y="8763001"/>
          <a:ext cx="5029199" cy="17044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6</xdr:row>
      <xdr:rowOff>9525</xdr:rowOff>
    </xdr:from>
    <xdr:to>
      <xdr:col>3</xdr:col>
      <xdr:colOff>9526</xdr:colOff>
      <xdr:row>10</xdr:row>
      <xdr:rowOff>77938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62F416-AFDF-49B3-A55F-18DD88095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3925" y="1152525"/>
          <a:ext cx="1781176" cy="830413"/>
        </a:xfrm>
        <a:prstGeom prst="rect">
          <a:avLst/>
        </a:prstGeom>
      </xdr:spPr>
    </xdr:pic>
    <xdr:clientData/>
  </xdr:twoCellAnchor>
  <xdr:twoCellAnchor editAs="oneCell">
    <xdr:from>
      <xdr:col>0</xdr:col>
      <xdr:colOff>400049</xdr:colOff>
      <xdr:row>12</xdr:row>
      <xdr:rowOff>28214</xdr:rowOff>
    </xdr:from>
    <xdr:to>
      <xdr:col>6</xdr:col>
      <xdr:colOff>219075</xdr:colOff>
      <xdr:row>21</xdr:row>
      <xdr:rowOff>66925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0D6EB2-2731-4610-B072-4B183E440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0049" y="2314214"/>
          <a:ext cx="4695826" cy="1753211"/>
        </a:xfrm>
        <a:prstGeom prst="rect">
          <a:avLst/>
        </a:prstGeom>
      </xdr:spPr>
    </xdr:pic>
    <xdr:clientData/>
  </xdr:twoCellAnchor>
  <xdr:twoCellAnchor editAs="oneCell">
    <xdr:from>
      <xdr:col>7</xdr:col>
      <xdr:colOff>117262</xdr:colOff>
      <xdr:row>11</xdr:row>
      <xdr:rowOff>171450</xdr:rowOff>
    </xdr:from>
    <xdr:to>
      <xdr:col>10</xdr:col>
      <xdr:colOff>675831</xdr:colOff>
      <xdr:row>23</xdr:row>
      <xdr:rowOff>18694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7BA535E-C24C-4201-9751-1E14A6C6B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56037" y="2266950"/>
          <a:ext cx="2654069" cy="2133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4</xdr:col>
      <xdr:colOff>532746</xdr:colOff>
      <xdr:row>36</xdr:row>
      <xdr:rowOff>34847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423DAE-C90E-4AFB-BDBD-8206FFD4E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947317"/>
          <a:ext cx="3006923" cy="7782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180975</xdr:rowOff>
    </xdr:from>
    <xdr:to>
      <xdr:col>7</xdr:col>
      <xdr:colOff>38100</xdr:colOff>
      <xdr:row>25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D9E437-2DA9-472B-B181-09B5C5699B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8</xdr:row>
      <xdr:rowOff>9526</xdr:rowOff>
    </xdr:from>
    <xdr:to>
      <xdr:col>19</xdr:col>
      <xdr:colOff>552450</xdr:colOff>
      <xdr:row>20</xdr:row>
      <xdr:rowOff>22618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A208EF-62E4-4D76-8585-643CF8820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6625" y="1533526"/>
          <a:ext cx="4629150" cy="229909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0</xdr:row>
      <xdr:rowOff>0</xdr:rowOff>
    </xdr:from>
    <xdr:to>
      <xdr:col>18</xdr:col>
      <xdr:colOff>90621</xdr:colOff>
      <xdr:row>6</xdr:row>
      <xdr:rowOff>161742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95D7CF-46EC-4C41-B340-5638C86BF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7225" y="0"/>
          <a:ext cx="2567121" cy="1304742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304800</xdr:colOff>
      <xdr:row>4</xdr:row>
      <xdr:rowOff>19050</xdr:rowOff>
    </xdr:from>
    <xdr:to>
      <xdr:col>12</xdr:col>
      <xdr:colOff>28575</xdr:colOff>
      <xdr:row>15</xdr:row>
      <xdr:rowOff>141047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B5AE3B-3AC7-453F-BBA2-28E4673C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67000" y="781050"/>
          <a:ext cx="4457700" cy="22174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6"/>
  <sheetViews>
    <sheetView topLeftCell="A31" zoomScaleNormal="100" workbookViewId="0">
      <selection activeCell="E2" sqref="E2"/>
    </sheetView>
  </sheetViews>
  <sheetFormatPr defaultRowHeight="15" x14ac:dyDescent="0.25"/>
  <cols>
    <col min="1" max="1" width="18" bestFit="1" customWidth="1"/>
    <col min="2" max="2" width="5.28515625" bestFit="1" customWidth="1"/>
    <col min="4" max="4" width="6.28515625" bestFit="1" customWidth="1"/>
    <col min="5" max="5" width="9.5703125" bestFit="1" customWidth="1"/>
    <col min="6" max="6" width="7.42578125" customWidth="1"/>
    <col min="7" max="7" width="8" customWidth="1"/>
    <col min="8" max="8" width="28.85546875" bestFit="1" customWidth="1"/>
  </cols>
  <sheetData>
    <row r="1" spans="1:9" x14ac:dyDescent="0.25">
      <c r="A1" s="25"/>
      <c r="B1" s="26" t="s">
        <v>39</v>
      </c>
      <c r="C1" s="26" t="s">
        <v>42</v>
      </c>
      <c r="D1" s="26" t="s">
        <v>10</v>
      </c>
      <c r="E1" s="26" t="s">
        <v>43</v>
      </c>
      <c r="F1" s="26" t="s">
        <v>41</v>
      </c>
      <c r="G1" s="28" t="s">
        <v>40</v>
      </c>
      <c r="H1" s="58"/>
    </row>
    <row r="2" spans="1:9" x14ac:dyDescent="0.25">
      <c r="A2" s="19" t="s">
        <v>34</v>
      </c>
      <c r="B2" s="19">
        <v>20</v>
      </c>
      <c r="C2" s="19">
        <f t="shared" ref="C2:E5" si="0">B2*0.5</f>
        <v>10</v>
      </c>
      <c r="D2" s="19">
        <v>6</v>
      </c>
      <c r="E2" s="19">
        <f t="shared" si="0"/>
        <v>3</v>
      </c>
      <c r="F2" s="19">
        <v>2411</v>
      </c>
      <c r="G2" s="29" t="s">
        <v>44</v>
      </c>
      <c r="H2" s="59"/>
      <c r="I2" t="s">
        <v>36</v>
      </c>
    </row>
    <row r="3" spans="1:9" x14ac:dyDescent="0.25">
      <c r="A3" s="19" t="s">
        <v>38</v>
      </c>
      <c r="B3" s="19">
        <v>20</v>
      </c>
      <c r="C3" s="19">
        <f>B3*0.5</f>
        <v>10</v>
      </c>
      <c r="D3" s="19">
        <v>6</v>
      </c>
      <c r="E3" s="19">
        <f>D3*0.5</f>
        <v>3</v>
      </c>
      <c r="F3" s="27">
        <v>4415</v>
      </c>
      <c r="G3" s="29" t="s">
        <v>44</v>
      </c>
      <c r="H3" s="59"/>
      <c r="I3" t="s">
        <v>48</v>
      </c>
    </row>
    <row r="4" spans="1:9" x14ac:dyDescent="0.25">
      <c r="A4" s="19" t="s">
        <v>37</v>
      </c>
      <c r="B4" s="19">
        <v>24</v>
      </c>
      <c r="C4" s="19">
        <f>B4*0.5</f>
        <v>12</v>
      </c>
      <c r="D4" s="19">
        <v>8</v>
      </c>
      <c r="E4" s="19">
        <f>D4*0.5</f>
        <v>4</v>
      </c>
      <c r="F4" s="19">
        <v>2411</v>
      </c>
      <c r="G4" s="29" t="s">
        <v>44</v>
      </c>
      <c r="H4" s="59"/>
      <c r="I4" t="s">
        <v>35</v>
      </c>
    </row>
    <row r="5" spans="1:9" x14ac:dyDescent="0.25">
      <c r="A5" s="19" t="s">
        <v>35</v>
      </c>
      <c r="B5" s="19">
        <v>28</v>
      </c>
      <c r="C5" s="19">
        <f t="shared" si="0"/>
        <v>14</v>
      </c>
      <c r="D5" s="19">
        <v>8</v>
      </c>
      <c r="E5" s="19">
        <f t="shared" si="0"/>
        <v>4</v>
      </c>
      <c r="F5" s="27">
        <v>4415</v>
      </c>
      <c r="G5" s="29" t="s">
        <v>45</v>
      </c>
      <c r="H5" s="59"/>
    </row>
    <row r="6" spans="1:9" x14ac:dyDescent="0.25">
      <c r="A6" s="19" t="s">
        <v>36</v>
      </c>
      <c r="B6" s="19">
        <v>28</v>
      </c>
      <c r="C6" s="19">
        <f>B6*0.5</f>
        <v>14</v>
      </c>
      <c r="D6" s="19">
        <v>8</v>
      </c>
      <c r="E6" s="19">
        <f>D6*0.5</f>
        <v>4</v>
      </c>
      <c r="F6" s="19">
        <v>2411</v>
      </c>
      <c r="G6" s="29" t="s">
        <v>45</v>
      </c>
      <c r="H6" s="59"/>
    </row>
    <row r="7" spans="1:9" x14ac:dyDescent="0.25">
      <c r="A7" t="s">
        <v>51</v>
      </c>
    </row>
    <row r="8" spans="1:9" x14ac:dyDescent="0.25">
      <c r="A8" s="25"/>
      <c r="B8" s="26" t="s">
        <v>46</v>
      </c>
      <c r="C8" s="26" t="s">
        <v>68</v>
      </c>
      <c r="D8" s="26" t="s">
        <v>69</v>
      </c>
      <c r="E8" s="26" t="s">
        <v>47</v>
      </c>
      <c r="F8" s="26" t="s">
        <v>67</v>
      </c>
      <c r="H8" t="s">
        <v>70</v>
      </c>
    </row>
    <row r="9" spans="1:9" x14ac:dyDescent="0.25">
      <c r="A9" s="19" t="s">
        <v>102</v>
      </c>
      <c r="B9" s="19">
        <v>1</v>
      </c>
      <c r="C9" s="19">
        <v>8</v>
      </c>
      <c r="D9" s="19">
        <v>32</v>
      </c>
      <c r="E9" s="19">
        <v>169</v>
      </c>
      <c r="F9" s="19">
        <v>7</v>
      </c>
      <c r="H9" t="s">
        <v>71</v>
      </c>
    </row>
    <row r="10" spans="1:9" x14ac:dyDescent="0.25">
      <c r="A10" s="19" t="s">
        <v>103</v>
      </c>
      <c r="B10" s="19">
        <v>1</v>
      </c>
      <c r="C10" s="19">
        <v>8</v>
      </c>
      <c r="D10" s="19">
        <v>32</v>
      </c>
      <c r="E10" s="19">
        <v>169</v>
      </c>
      <c r="F10" s="19">
        <v>7</v>
      </c>
      <c r="H10" t="s">
        <v>72</v>
      </c>
    </row>
    <row r="11" spans="1:9" x14ac:dyDescent="0.25">
      <c r="A11" s="19" t="s">
        <v>104</v>
      </c>
      <c r="B11" s="19">
        <v>1</v>
      </c>
      <c r="C11" s="19">
        <v>8</v>
      </c>
      <c r="D11" s="19">
        <v>40</v>
      </c>
      <c r="E11" s="19">
        <v>289</v>
      </c>
      <c r="F11" s="19">
        <v>7</v>
      </c>
      <c r="H11" s="18" t="s">
        <v>73</v>
      </c>
    </row>
    <row r="12" spans="1:9" x14ac:dyDescent="0.25">
      <c r="A12" s="19" t="s">
        <v>105</v>
      </c>
      <c r="B12" s="19">
        <v>1</v>
      </c>
      <c r="C12" s="19">
        <v>12</v>
      </c>
      <c r="D12" s="19">
        <v>36</v>
      </c>
      <c r="E12" s="19">
        <v>400</v>
      </c>
      <c r="F12" s="19">
        <v>8</v>
      </c>
      <c r="H12" t="s">
        <v>74</v>
      </c>
    </row>
    <row r="13" spans="1:9" x14ac:dyDescent="0.25">
      <c r="A13" s="19" t="s">
        <v>106</v>
      </c>
      <c r="B13" s="19">
        <v>1</v>
      </c>
      <c r="C13" s="19">
        <v>12</v>
      </c>
      <c r="D13" s="19">
        <v>36</v>
      </c>
      <c r="E13" s="19">
        <v>400</v>
      </c>
      <c r="F13" s="19">
        <v>8</v>
      </c>
      <c r="H13" t="s">
        <v>75</v>
      </c>
      <c r="I13" t="s">
        <v>37</v>
      </c>
    </row>
    <row r="14" spans="1:9" x14ac:dyDescent="0.25">
      <c r="A14" s="5"/>
      <c r="B14" s="5"/>
      <c r="C14" s="5"/>
      <c r="D14" s="5"/>
      <c r="E14" s="5"/>
      <c r="F14" s="5"/>
      <c r="G14" s="18"/>
      <c r="H14" t="s">
        <v>76</v>
      </c>
    </row>
    <row r="15" spans="1:9" x14ac:dyDescent="0.25">
      <c r="A15" s="46"/>
      <c r="B15" s="47" t="s">
        <v>46</v>
      </c>
      <c r="C15" s="47" t="s">
        <v>68</v>
      </c>
      <c r="D15" s="47" t="s">
        <v>69</v>
      </c>
      <c r="E15" s="47" t="s">
        <v>47</v>
      </c>
      <c r="F15" s="47" t="s">
        <v>67</v>
      </c>
      <c r="G15" s="18"/>
    </row>
    <row r="16" spans="1:9" x14ac:dyDescent="0.25">
      <c r="A16" s="19" t="s">
        <v>97</v>
      </c>
      <c r="B16" s="19">
        <v>1</v>
      </c>
      <c r="C16" s="19">
        <v>36</v>
      </c>
      <c r="D16" s="19">
        <v>100</v>
      </c>
      <c r="E16" s="19">
        <v>169</v>
      </c>
      <c r="F16" s="19">
        <v>7</v>
      </c>
      <c r="G16" s="24" t="s">
        <v>94</v>
      </c>
      <c r="H16" s="24"/>
    </row>
    <row r="17" spans="1:9" x14ac:dyDescent="0.25">
      <c r="A17" s="19" t="s">
        <v>98</v>
      </c>
      <c r="B17" s="19">
        <v>1</v>
      </c>
      <c r="C17" s="19">
        <v>36</v>
      </c>
      <c r="D17" s="19">
        <v>100</v>
      </c>
      <c r="E17" s="19">
        <v>169</v>
      </c>
      <c r="F17" s="19">
        <v>7</v>
      </c>
      <c r="G17" s="18"/>
    </row>
    <row r="18" spans="1:9" x14ac:dyDescent="0.25">
      <c r="A18" s="19" t="s">
        <v>99</v>
      </c>
      <c r="B18" s="19">
        <v>1</v>
      </c>
      <c r="C18" s="19">
        <v>40</v>
      </c>
      <c r="D18" s="19">
        <v>100</v>
      </c>
      <c r="E18" s="19">
        <v>289</v>
      </c>
      <c r="F18" s="19">
        <v>7</v>
      </c>
      <c r="G18" s="18"/>
    </row>
    <row r="19" spans="1:9" x14ac:dyDescent="0.25">
      <c r="A19" s="19" t="s">
        <v>100</v>
      </c>
      <c r="B19" s="19">
        <v>1</v>
      </c>
      <c r="C19" s="19">
        <v>64</v>
      </c>
      <c r="D19" s="19">
        <v>100</v>
      </c>
      <c r="E19" s="19">
        <v>400</v>
      </c>
      <c r="F19" s="19">
        <v>8</v>
      </c>
      <c r="G19" s="18"/>
    </row>
    <row r="20" spans="1:9" x14ac:dyDescent="0.25">
      <c r="A20" s="19" t="s">
        <v>101</v>
      </c>
      <c r="B20" s="19">
        <v>1</v>
      </c>
      <c r="C20" s="19">
        <v>64</v>
      </c>
      <c r="D20" s="19">
        <v>100</v>
      </c>
      <c r="E20" s="19">
        <v>400</v>
      </c>
      <c r="F20" s="19">
        <v>8</v>
      </c>
      <c r="G20" s="18"/>
    </row>
    <row r="21" spans="1:9" x14ac:dyDescent="0.25">
      <c r="A21" s="5"/>
      <c r="B21" s="5"/>
      <c r="C21" s="5"/>
      <c r="D21" s="5"/>
      <c r="E21" s="5"/>
      <c r="F21" s="5"/>
      <c r="G21" s="18"/>
    </row>
    <row r="23" spans="1:9" x14ac:dyDescent="0.25">
      <c r="A23" s="5" t="s">
        <v>95</v>
      </c>
    </row>
    <row r="24" spans="1:9" x14ac:dyDescent="0.25">
      <c r="I24" s="5" t="s">
        <v>34</v>
      </c>
    </row>
    <row r="25" spans="1:9" x14ac:dyDescent="0.25">
      <c r="I25" s="5" t="s">
        <v>48</v>
      </c>
    </row>
    <row r="26" spans="1:9" x14ac:dyDescent="0.25">
      <c r="I26" s="5" t="s">
        <v>38</v>
      </c>
    </row>
    <row r="35" spans="1:1" x14ac:dyDescent="0.25">
      <c r="A35" t="s">
        <v>37</v>
      </c>
    </row>
    <row r="46" spans="1:1" x14ac:dyDescent="0.25">
      <c r="A46" t="s">
        <v>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0"/>
  <sheetViews>
    <sheetView workbookViewId="0">
      <selection activeCell="B5" sqref="B5"/>
    </sheetView>
  </sheetViews>
  <sheetFormatPr defaultRowHeight="15" x14ac:dyDescent="0.25"/>
  <cols>
    <col min="1" max="1" width="4.5703125" bestFit="1" customWidth="1"/>
    <col min="2" max="2" width="104.140625" customWidth="1"/>
    <col min="4" max="4" width="60.42578125" customWidth="1"/>
  </cols>
  <sheetData>
    <row r="1" spans="1:4" ht="33.75" customHeight="1" x14ac:dyDescent="0.25">
      <c r="A1" s="75">
        <v>1</v>
      </c>
      <c r="B1" s="74" t="s">
        <v>159</v>
      </c>
      <c r="D1" s="76" t="s">
        <v>158</v>
      </c>
    </row>
    <row r="2" spans="1:4" ht="30" x14ac:dyDescent="0.25">
      <c r="A2" s="75">
        <v>2</v>
      </c>
      <c r="B2" s="77" t="s">
        <v>153</v>
      </c>
    </row>
    <row r="3" spans="1:4" s="18" customFormat="1" ht="61.5" customHeight="1" x14ac:dyDescent="0.25">
      <c r="A3" s="75">
        <v>3</v>
      </c>
      <c r="B3" s="74" t="s">
        <v>160</v>
      </c>
    </row>
    <row r="4" spans="1:4" ht="16.5" customHeight="1" x14ac:dyDescent="0.25">
      <c r="A4" s="75">
        <v>4</v>
      </c>
      <c r="B4" s="77" t="s">
        <v>154</v>
      </c>
    </row>
    <row r="5" spans="1:4" s="18" customFormat="1" ht="30" x14ac:dyDescent="0.25">
      <c r="A5" s="75">
        <v>5</v>
      </c>
      <c r="B5" s="80" t="s">
        <v>162</v>
      </c>
    </row>
    <row r="6" spans="1:4" ht="60" x14ac:dyDescent="0.25">
      <c r="A6" s="75">
        <v>6</v>
      </c>
      <c r="B6" s="77" t="s">
        <v>157</v>
      </c>
    </row>
    <row r="7" spans="1:4" ht="30" x14ac:dyDescent="0.25">
      <c r="A7" s="75">
        <v>7</v>
      </c>
      <c r="B7" s="80" t="s">
        <v>155</v>
      </c>
    </row>
    <row r="8" spans="1:4" ht="33" customHeight="1" x14ac:dyDescent="0.25">
      <c r="A8" s="75">
        <v>8</v>
      </c>
      <c r="B8" s="77" t="s">
        <v>156</v>
      </c>
    </row>
    <row r="9" spans="1:4" ht="30" x14ac:dyDescent="0.25">
      <c r="A9" s="75">
        <v>9</v>
      </c>
      <c r="B9" s="80" t="s">
        <v>161</v>
      </c>
    </row>
    <row r="10" spans="1:4" x14ac:dyDescent="0.25">
      <c r="A10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1"/>
  <sheetViews>
    <sheetView zoomScale="85" zoomScaleNormal="85" workbookViewId="0"/>
  </sheetViews>
  <sheetFormatPr defaultRowHeight="15" x14ac:dyDescent="0.25"/>
  <cols>
    <col min="1" max="1" width="12.5703125" bestFit="1" customWidth="1"/>
    <col min="2" max="2" width="15.85546875" bestFit="1" customWidth="1"/>
    <col min="3" max="3" width="12" style="18" bestFit="1" customWidth="1"/>
    <col min="4" max="4" width="12.85546875" bestFit="1" customWidth="1"/>
    <col min="5" max="5" width="7.28515625" customWidth="1"/>
    <col min="6" max="6" width="12.5703125" bestFit="1" customWidth="1"/>
    <col min="7" max="8" width="8.42578125" bestFit="1" customWidth="1"/>
    <col min="9" max="9" width="6.5703125" bestFit="1" customWidth="1"/>
    <col min="10" max="10" width="16.42578125" bestFit="1" customWidth="1"/>
    <col min="11" max="11" width="13.42578125" bestFit="1" customWidth="1"/>
    <col min="12" max="12" width="10.42578125" style="18" bestFit="1" customWidth="1"/>
    <col min="13" max="13" width="8.5703125" bestFit="1" customWidth="1"/>
  </cols>
  <sheetData>
    <row r="1" spans="1:13" s="18" customFormat="1" x14ac:dyDescent="0.25">
      <c r="A1" s="10"/>
      <c r="B1" s="52" t="s">
        <v>116</v>
      </c>
      <c r="C1" s="10"/>
      <c r="D1" s="52" t="s">
        <v>118</v>
      </c>
      <c r="F1" s="10"/>
      <c r="G1" s="52" t="s">
        <v>121</v>
      </c>
      <c r="H1" s="52" t="s">
        <v>122</v>
      </c>
      <c r="I1" s="52" t="s">
        <v>41</v>
      </c>
      <c r="J1" s="52" t="s">
        <v>123</v>
      </c>
      <c r="K1" s="52" t="s">
        <v>120</v>
      </c>
      <c r="L1" s="52" t="s">
        <v>130</v>
      </c>
      <c r="M1" s="52" t="s">
        <v>109</v>
      </c>
    </row>
    <row r="2" spans="1:13" x14ac:dyDescent="0.25">
      <c r="A2" s="52" t="s">
        <v>109</v>
      </c>
      <c r="B2" s="52" t="s">
        <v>117</v>
      </c>
      <c r="C2" s="52" t="s">
        <v>113</v>
      </c>
      <c r="D2" s="52" t="s">
        <v>119</v>
      </c>
      <c r="F2" s="10" t="s">
        <v>101</v>
      </c>
      <c r="G2" s="10">
        <f>0.01*VLOOKUP(LEFT(F2,SEARCH("-",F2)-1),'Summary+ellip'!$A$2:$E$6,3,0)</f>
        <v>0.14000000000000001</v>
      </c>
      <c r="H2" s="10">
        <f>0.01*VLOOKUP(LEFT(F2,SEARCH("-",F2)-1),'Summary+ellip'!$A$2:$E$6,5,0)</f>
        <v>0.04</v>
      </c>
      <c r="I2" s="10">
        <f>VLOOKUP(LEFT(F2,SEARCH("-",F2)-1),'Summary+ellip'!$A$2:$F$6,6,0)</f>
        <v>2411</v>
      </c>
      <c r="J2" s="10">
        <f>0.01*RIGHT(I2,2)*H2+0.001</f>
        <v>5.4000000000000003E-3</v>
      </c>
      <c r="K2" s="14">
        <f>1/12*H2*J2^3</f>
        <v>5.2488000000000005E-10</v>
      </c>
      <c r="L2" s="10">
        <v>6.0000000000000001E-3</v>
      </c>
      <c r="M2" s="10" t="s">
        <v>111</v>
      </c>
    </row>
    <row r="3" spans="1:13" x14ac:dyDescent="0.25">
      <c r="A3" s="10" t="s">
        <v>110</v>
      </c>
      <c r="B3" s="53">
        <v>450000000</v>
      </c>
      <c r="C3" s="10" t="s">
        <v>114</v>
      </c>
      <c r="D3" s="53">
        <v>70000000000</v>
      </c>
      <c r="F3" s="10" t="s">
        <v>100</v>
      </c>
      <c r="G3" s="10">
        <f>0.01*VLOOKUP(LEFT(F3,SEARCH("-",F3)-1),'Summary+ellip'!$A$2:$E$6,3,0)</f>
        <v>0.14000000000000001</v>
      </c>
      <c r="H3" s="10">
        <f>0.01*VLOOKUP(LEFT(F3,SEARCH("-",F3)-1),'Summary+ellip'!$A$2:$E$6,5,0)</f>
        <v>0.04</v>
      </c>
      <c r="I3" s="10">
        <f>VLOOKUP(LEFT(F3,SEARCH("-",F3)-1),'Summary+ellip'!$A$2:$F$6,6,0)</f>
        <v>4415</v>
      </c>
      <c r="J3" s="10">
        <f t="shared" ref="J3:J11" si="0">0.01*RIGHT(I3,2)*H3+0.001</f>
        <v>7.0000000000000001E-3</v>
      </c>
      <c r="K3" s="14">
        <f t="shared" ref="K3:K11" si="1">1/12*H3*J3^3</f>
        <v>1.1433333333333333E-9</v>
      </c>
      <c r="L3" s="10">
        <v>6.0000000000000001E-3</v>
      </c>
      <c r="M3" s="10" t="s">
        <v>111</v>
      </c>
    </row>
    <row r="4" spans="1:13" x14ac:dyDescent="0.25">
      <c r="A4" s="10" t="s">
        <v>111</v>
      </c>
      <c r="B4" s="53">
        <v>35000000</v>
      </c>
      <c r="C4" s="53"/>
      <c r="D4" s="53">
        <v>3500000000</v>
      </c>
      <c r="F4" s="10" t="s">
        <v>99</v>
      </c>
      <c r="G4" s="10">
        <f>0.01*VLOOKUP(LEFT(F4,SEARCH("-",F4)-1),'Summary+ellip'!$A$2:$E$6,3,0)</f>
        <v>0.12</v>
      </c>
      <c r="H4" s="10">
        <f>0.01*VLOOKUP(LEFT(F4,SEARCH("-",F4)-1),'Summary+ellip'!$A$2:$E$6,5,0)</f>
        <v>0.04</v>
      </c>
      <c r="I4" s="10">
        <f>VLOOKUP(LEFT(F4,SEARCH("-",F4)-1),'Summary+ellip'!$A$2:$F$6,6,0)</f>
        <v>2411</v>
      </c>
      <c r="J4" s="10">
        <f t="shared" si="0"/>
        <v>5.4000000000000003E-3</v>
      </c>
      <c r="K4" s="14">
        <f t="shared" si="1"/>
        <v>5.2488000000000005E-10</v>
      </c>
      <c r="L4" s="10">
        <v>6.0000000000000001E-3</v>
      </c>
      <c r="M4" s="10" t="s">
        <v>111</v>
      </c>
    </row>
    <row r="5" spans="1:13" x14ac:dyDescent="0.25">
      <c r="A5" s="10" t="s">
        <v>112</v>
      </c>
      <c r="B5" s="53">
        <v>50000000</v>
      </c>
      <c r="C5" s="53"/>
      <c r="D5" s="53">
        <v>2000000000</v>
      </c>
      <c r="F5" s="10" t="s">
        <v>97</v>
      </c>
      <c r="G5" s="10">
        <f>0.01*VLOOKUP(LEFT(F5,SEARCH("-",F5)-1),'Summary+ellip'!$A$2:$E$6,3,0)</f>
        <v>0.1</v>
      </c>
      <c r="H5" s="10">
        <f>0.01*VLOOKUP(LEFT(F5,SEARCH("-",F5)-1),'Summary+ellip'!$A$2:$E$6,5,0)</f>
        <v>0.03</v>
      </c>
      <c r="I5" s="10">
        <f>VLOOKUP(LEFT(F5,SEARCH("-",F5)-1),'Summary+ellip'!$A$2:$F$6,6,0)</f>
        <v>2411</v>
      </c>
      <c r="J5" s="10">
        <f t="shared" si="0"/>
        <v>4.3E-3</v>
      </c>
      <c r="K5" s="14">
        <f t="shared" si="1"/>
        <v>1.9876749999999995E-10</v>
      </c>
      <c r="L5" s="10">
        <v>5.0000000000000001E-3</v>
      </c>
      <c r="M5" s="10" t="s">
        <v>111</v>
      </c>
    </row>
    <row r="6" spans="1:13" s="18" customFormat="1" x14ac:dyDescent="0.25">
      <c r="B6" s="51"/>
      <c r="C6" s="51"/>
      <c r="D6" s="51"/>
      <c r="F6" s="10" t="s">
        <v>98</v>
      </c>
      <c r="G6" s="10">
        <f>0.01*VLOOKUP(LEFT(F6,SEARCH("-",F6)-1),'Summary+ellip'!$A$2:$E$6,3,0)</f>
        <v>0.1</v>
      </c>
      <c r="H6" s="10">
        <f>0.01*VLOOKUP(LEFT(F6,SEARCH("-",F6)-1),'Summary+ellip'!$A$2:$E$6,5,0)</f>
        <v>0.03</v>
      </c>
      <c r="I6" s="10">
        <f>VLOOKUP(LEFT(F6,SEARCH("-",F6)-1),'Summary+ellip'!$A$2:$F$6,6,0)</f>
        <v>4415</v>
      </c>
      <c r="J6" s="10">
        <f t="shared" si="0"/>
        <v>5.4999999999999997E-3</v>
      </c>
      <c r="K6" s="14">
        <f t="shared" si="1"/>
        <v>4.1593749999999989E-10</v>
      </c>
      <c r="L6" s="10">
        <v>5.0000000000000001E-3</v>
      </c>
      <c r="M6" s="10" t="s">
        <v>111</v>
      </c>
    </row>
    <row r="7" spans="1:13" x14ac:dyDescent="0.25">
      <c r="F7" s="10" t="s">
        <v>106</v>
      </c>
      <c r="G7" s="10">
        <f>G2*2</f>
        <v>0.28000000000000003</v>
      </c>
      <c r="H7" s="10">
        <f>H2*2</f>
        <v>0.08</v>
      </c>
      <c r="I7" s="10">
        <f>VLOOKUP(LEFT(F7,SEARCH("-",F7)-1),'Summary+ellip'!$A$2:$F$6,6,0)</f>
        <v>2411</v>
      </c>
      <c r="J7" s="10">
        <f t="shared" si="0"/>
        <v>9.7999999999999997E-3</v>
      </c>
      <c r="K7" s="14">
        <f t="shared" si="1"/>
        <v>6.274613333333333E-9</v>
      </c>
      <c r="L7" s="10">
        <f>L2*2</f>
        <v>1.2E-2</v>
      </c>
      <c r="M7" s="10" t="s">
        <v>115</v>
      </c>
    </row>
    <row r="8" spans="1:13" x14ac:dyDescent="0.25">
      <c r="F8" s="10" t="s">
        <v>105</v>
      </c>
      <c r="G8" s="10">
        <f t="shared" ref="G8:H11" si="2">G3*2</f>
        <v>0.28000000000000003</v>
      </c>
      <c r="H8" s="10">
        <f t="shared" si="2"/>
        <v>0.08</v>
      </c>
      <c r="I8" s="10">
        <f>VLOOKUP(LEFT(F8,SEARCH("-",F8)-1),'Summary+ellip'!$A$2:$F$6,6,0)</f>
        <v>4415</v>
      </c>
      <c r="J8" s="10">
        <f t="shared" si="0"/>
        <v>1.3000000000000001E-2</v>
      </c>
      <c r="K8" s="14">
        <f t="shared" si="1"/>
        <v>1.4646666666666671E-8</v>
      </c>
      <c r="L8" s="10">
        <f t="shared" ref="L8:L11" si="3">L3*2</f>
        <v>1.2E-2</v>
      </c>
      <c r="M8" s="10" t="s">
        <v>115</v>
      </c>
    </row>
    <row r="9" spans="1:13" x14ac:dyDescent="0.25">
      <c r="F9" s="10" t="s">
        <v>104</v>
      </c>
      <c r="G9" s="10">
        <f t="shared" si="2"/>
        <v>0.24</v>
      </c>
      <c r="H9" s="10">
        <f t="shared" si="2"/>
        <v>0.08</v>
      </c>
      <c r="I9" s="10">
        <f>VLOOKUP(LEFT(F9,SEARCH("-",F9)-1),'Summary+ellip'!$A$2:$F$6,6,0)</f>
        <v>2411</v>
      </c>
      <c r="J9" s="10">
        <f t="shared" si="0"/>
        <v>9.7999999999999997E-3</v>
      </c>
      <c r="K9" s="14">
        <f t="shared" si="1"/>
        <v>6.274613333333333E-9</v>
      </c>
      <c r="L9" s="10">
        <f t="shared" si="3"/>
        <v>1.2E-2</v>
      </c>
      <c r="M9" s="10" t="s">
        <v>115</v>
      </c>
    </row>
    <row r="10" spans="1:13" x14ac:dyDescent="0.25">
      <c r="F10" s="10" t="s">
        <v>102</v>
      </c>
      <c r="G10" s="10">
        <f t="shared" si="2"/>
        <v>0.2</v>
      </c>
      <c r="H10" s="10">
        <f t="shared" si="2"/>
        <v>0.06</v>
      </c>
      <c r="I10" s="10">
        <f>VLOOKUP(LEFT(F10,SEARCH("-",F10)-1),'Summary+ellip'!$A$2:$F$6,6,0)</f>
        <v>2411</v>
      </c>
      <c r="J10" s="10">
        <f t="shared" si="0"/>
        <v>7.6E-3</v>
      </c>
      <c r="K10" s="14">
        <f t="shared" si="1"/>
        <v>2.1948799999999998E-9</v>
      </c>
      <c r="L10" s="10">
        <f t="shared" si="3"/>
        <v>0.01</v>
      </c>
      <c r="M10" s="10" t="s">
        <v>115</v>
      </c>
    </row>
    <row r="11" spans="1:13" x14ac:dyDescent="0.25">
      <c r="F11" s="10" t="s">
        <v>103</v>
      </c>
      <c r="G11" s="10">
        <f t="shared" si="2"/>
        <v>0.2</v>
      </c>
      <c r="H11" s="10">
        <f t="shared" si="2"/>
        <v>0.06</v>
      </c>
      <c r="I11" s="10">
        <f>VLOOKUP(LEFT(F11,SEARCH("-",F11)-1),'Summary+ellip'!$A$2:$F$6,6,0)</f>
        <v>4415</v>
      </c>
      <c r="J11" s="10">
        <f t="shared" si="0"/>
        <v>9.9999999999999985E-3</v>
      </c>
      <c r="K11" s="14">
        <f t="shared" si="1"/>
        <v>4.9999999999999968E-9</v>
      </c>
      <c r="L11" s="10">
        <f t="shared" si="3"/>
        <v>0.01</v>
      </c>
      <c r="M11" s="10" t="s">
        <v>115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9"/>
  <sheetViews>
    <sheetView zoomScale="82" zoomScaleNormal="70" workbookViewId="0">
      <selection activeCell="K5" sqref="K5"/>
    </sheetView>
  </sheetViews>
  <sheetFormatPr defaultRowHeight="15" x14ac:dyDescent="0.25"/>
  <cols>
    <col min="1" max="1" width="11.5703125" customWidth="1"/>
    <col min="2" max="2" width="6.85546875" customWidth="1"/>
    <col min="4" max="4" width="9.7109375" customWidth="1"/>
    <col min="5" max="5" width="10.42578125" customWidth="1"/>
    <col min="6" max="6" width="10.28515625" customWidth="1"/>
    <col min="7" max="7" width="7" customWidth="1"/>
    <col min="8" max="8" width="7.85546875" bestFit="1" customWidth="1"/>
    <col min="9" max="9" width="9" bestFit="1" customWidth="1"/>
    <col min="10" max="11" width="9.7109375" bestFit="1" customWidth="1"/>
    <col min="12" max="12" width="9" bestFit="1" customWidth="1"/>
    <col min="13" max="13" width="9.7109375" customWidth="1"/>
    <col min="14" max="14" width="14.5703125" bestFit="1" customWidth="1"/>
    <col min="15" max="15" width="8.7109375" bestFit="1" customWidth="1"/>
    <col min="16" max="16" width="8.28515625" style="1" bestFit="1" customWidth="1"/>
    <col min="17" max="17" width="9.85546875" bestFit="1" customWidth="1"/>
    <col min="18" max="18" width="12" bestFit="1" customWidth="1"/>
    <col min="19" max="19" width="9.85546875" bestFit="1" customWidth="1"/>
    <col min="20" max="20" width="13.85546875" bestFit="1" customWidth="1"/>
    <col min="21" max="21" width="12.85546875" bestFit="1" customWidth="1"/>
    <col min="22" max="22" width="12.7109375" bestFit="1" customWidth="1"/>
    <col min="23" max="23" width="11.140625" bestFit="1" customWidth="1"/>
    <col min="24" max="24" width="8.42578125" bestFit="1" customWidth="1"/>
  </cols>
  <sheetData>
    <row r="1" spans="1:26" x14ac:dyDescent="0.25">
      <c r="A1" s="24" t="str">
        <f ca="1">CONCATENATE("NACA "&amp;VLOOKUP(LEFT($O$39,SEARCH("-",$O$39)-1),'Summary+ellip'!$A$2:$F$6,6,0))</f>
        <v>NACA 2411</v>
      </c>
      <c r="C1" s="81" t="s">
        <v>0</v>
      </c>
      <c r="D1" s="81"/>
      <c r="E1" s="81"/>
      <c r="F1" s="81"/>
      <c r="G1" s="81"/>
      <c r="H1" s="81"/>
      <c r="L1" s="87" t="s">
        <v>152</v>
      </c>
      <c r="M1" s="1" t="s">
        <v>89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6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137</v>
      </c>
      <c r="I2" s="2" t="s">
        <v>138</v>
      </c>
      <c r="J2" s="3" t="s">
        <v>6</v>
      </c>
      <c r="K2" s="39" t="s">
        <v>7</v>
      </c>
      <c r="L2" s="87"/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6" x14ac:dyDescent="0.25">
      <c r="A3" s="1">
        <v>0.02</v>
      </c>
      <c r="B3" s="6">
        <f t="shared" ref="B3:B15" si="0">A3*$B$22</f>
        <v>0.47123889803846897</v>
      </c>
      <c r="C3" s="6">
        <f t="shared" ref="C3:C15" si="1">SQRT(B3^2+$B$20^2)</f>
        <v>1.1054709851572362</v>
      </c>
      <c r="D3" s="7">
        <f t="shared" ref="D3:D15" ca="1" si="2">C3*$B$25/$K$19</f>
        <v>37254.517955635223</v>
      </c>
      <c r="E3" s="8">
        <f t="shared" ref="E3:E15" si="3">DEGREES(ATAN(K3/(2*PI()*A3)))</f>
        <v>71.768362798829216</v>
      </c>
      <c r="F3" s="8">
        <f t="shared" ref="F3:F15" si="4">DEGREES(ATAN($B$20/B3))</f>
        <v>64.768362799132177</v>
      </c>
      <c r="G3" s="6">
        <f t="shared" ref="G3:G15" ca="1" si="5">VLOOKUP(D3,$E$20:$F$25,2,1)</f>
        <v>7</v>
      </c>
      <c r="H3" s="6">
        <f>E3-F3</f>
        <v>6.9999999996970388</v>
      </c>
      <c r="I3" s="8">
        <f ca="1">G3-H3</f>
        <v>3.0296121167339152E-10</v>
      </c>
      <c r="J3" s="13">
        <f ca="1">(G3-H3)/G3</f>
        <v>4.3280173096198786E-11</v>
      </c>
      <c r="K3" s="54">
        <v>0.38149824017127248</v>
      </c>
      <c r="L3" s="13">
        <f>($B$26-K3)/$B$26</f>
        <v>-8.9994971917921454E-2</v>
      </c>
      <c r="M3" s="17">
        <f ca="1">R20</f>
        <v>4.4090815370097208E-2</v>
      </c>
      <c r="N3" s="7">
        <f ca="1">M3*($A$4-$A$3)</f>
        <v>4.4090815370097204E-4</v>
      </c>
      <c r="O3" s="9">
        <f t="shared" ref="O3" ca="1" si="6">2*PI()*RADIANS(G3)</f>
        <v>0.76763589786250563</v>
      </c>
      <c r="P3" s="6">
        <f t="shared" ref="P3" ca="1" si="7">0.5*O3*$I$19*C3^2*N3</f>
        <v>0.20662224036077537</v>
      </c>
      <c r="Q3" s="9">
        <f t="shared" ref="Q3" ca="1" si="8">$B$29*O3^2+$B$30</f>
        <v>7.535589230123052E-2</v>
      </c>
      <c r="R3" s="9">
        <f t="shared" ref="R3" ca="1" si="9">0.5*Q3*$I$19*C3^2*N3</f>
        <v>2.0283318347957709E-2</v>
      </c>
      <c r="S3" s="9">
        <f t="shared" ref="S3" ca="1" si="10">P3*COS(RADIANS(F3+G3))-R3*SIN(RADIANS(F3+G3))</f>
        <v>4.5378629814377194E-2</v>
      </c>
      <c r="T3" s="6">
        <f t="shared" ref="T3" ca="1" si="11">R3*COS(RADIANS(F3+G3))+P3*SIN(RADIANS(F3+G3))</f>
        <v>0.20259551616726454</v>
      </c>
      <c r="U3" s="9">
        <f t="shared" ref="U3" ca="1" si="12">T3*A3</f>
        <v>4.0519103233452912E-3</v>
      </c>
      <c r="V3" s="56">
        <f ca="1">P3/N3</f>
        <v>468.62875777277748</v>
      </c>
      <c r="W3" s="60">
        <f t="shared" ref="W3" ca="1" si="13">24*$I$23*$I$24*$I$25/$I$26^3/(A3^2-4*$I$26*A3+6*$I$26^2)</f>
        <v>1983.0310880829009</v>
      </c>
      <c r="X3" s="18" t="str">
        <f ca="1">IF(V3&lt;W3,"Good","Change")</f>
        <v>Good</v>
      </c>
      <c r="Y3" s="9"/>
    </row>
    <row r="4" spans="1:26" x14ac:dyDescent="0.25">
      <c r="A4">
        <v>0.03</v>
      </c>
      <c r="B4" s="6">
        <f t="shared" si="0"/>
        <v>0.70685834705770334</v>
      </c>
      <c r="C4" s="6">
        <f t="shared" si="1"/>
        <v>1.224601454680317</v>
      </c>
      <c r="D4" s="7">
        <f t="shared" ca="1" si="2"/>
        <v>41269.230485860171</v>
      </c>
      <c r="E4" s="8">
        <f t="shared" si="3"/>
        <v>61.74510091657551</v>
      </c>
      <c r="F4" s="8">
        <f t="shared" si="4"/>
        <v>54.745100913343656</v>
      </c>
      <c r="G4" s="6">
        <f t="shared" ca="1" si="5"/>
        <v>7</v>
      </c>
      <c r="H4" s="6">
        <f t="shared" ref="H4:H15" si="14">E4-F4</f>
        <v>7.0000000032318539</v>
      </c>
      <c r="I4" s="8">
        <f t="shared" ref="I4:I15" ca="1" si="15">G4-H4</f>
        <v>-3.2318538956133125E-9</v>
      </c>
      <c r="J4" s="13">
        <f t="shared" ref="J4:J15" ca="1" si="16">(G4-H4)/G4</f>
        <v>-4.6169341365904463E-10</v>
      </c>
      <c r="K4" s="54">
        <v>0.35073536456384002</v>
      </c>
      <c r="L4" s="13">
        <f t="shared" ref="L4:L15" si="17">($B$26-K4)/$B$26</f>
        <v>-2.1010416109715612E-3</v>
      </c>
      <c r="M4" s="17">
        <f t="shared" ref="M4:M15" ca="1" si="18">R21</f>
        <v>4.47744346697979E-2</v>
      </c>
      <c r="N4" s="7">
        <f t="shared" ref="N4:N15" ca="1" si="19">M4*($A$4-$A$3)</f>
        <v>4.4774434669797895E-4</v>
      </c>
      <c r="O4" s="9">
        <f t="shared" ref="O4:O15" ca="1" si="20">2*PI()*RADIANS(G4)</f>
        <v>0.76763589786250563</v>
      </c>
      <c r="P4" s="6">
        <f t="shared" ref="P4:P15" ca="1" si="21">0.5*O4*$I$19*C4^2*N4</f>
        <v>0.25748616109634687</v>
      </c>
      <c r="Q4" s="9">
        <f t="shared" ref="Q4:Q15" ca="1" si="22">$B$29*O4^2+$B$30</f>
        <v>7.535589230123052E-2</v>
      </c>
      <c r="R4" s="9">
        <f t="shared" ref="R4:R15" ca="1" si="23">0.5*Q4*$I$19*C4^2*N4</f>
        <v>2.5276435714720793E-2</v>
      </c>
      <c r="S4" s="9">
        <f t="shared" ref="S4:S15" ca="1" si="24">P4*COS(RADIANS(F4+G4))-R4*SIN(RADIANS(F4+G4))</f>
        <v>9.9627902610847419E-2</v>
      </c>
      <c r="T4" s="6">
        <f t="shared" ref="T4:T15" ca="1" si="25">R4*COS(RADIANS(F4+G4))+P4*SIN(RADIANS(F4+G4))</f>
        <v>0.23877249083581176</v>
      </c>
      <c r="U4" s="9">
        <f t="shared" ref="U4:U15" ca="1" si="26">T4*A4</f>
        <v>7.1631747250743526E-3</v>
      </c>
      <c r="V4" s="56">
        <f t="shared" ref="V4:V15" ca="1" si="27">P4/N4</f>
        <v>575.07406401723108</v>
      </c>
      <c r="W4" s="60">
        <f t="shared" ref="W4:W15" ca="1" si="28">24*$I$23*$I$24*$I$25/$I$26^3/(A4^2-4*$I$26*A4+6*$I$26^2)</f>
        <v>2099.9999999999991</v>
      </c>
      <c r="X4" s="18" t="str">
        <f t="shared" ref="X4:X15" ca="1" si="29">IF(V4&lt;W4,"Good","Change")</f>
        <v>Good</v>
      </c>
      <c r="Y4" s="9"/>
      <c r="Z4" s="18"/>
    </row>
    <row r="5" spans="1:26" x14ac:dyDescent="0.25">
      <c r="A5">
        <v>0.04</v>
      </c>
      <c r="B5" s="6">
        <f t="shared" si="0"/>
        <v>0.94247779607693793</v>
      </c>
      <c r="C5" s="6">
        <f t="shared" si="1"/>
        <v>1.3741413304671548</v>
      </c>
      <c r="D5" s="7">
        <f t="shared" ca="1" si="2"/>
        <v>46308.74401663983</v>
      </c>
      <c r="E5" s="8">
        <f t="shared" si="3"/>
        <v>53.696192693533725</v>
      </c>
      <c r="F5" s="8">
        <f t="shared" si="4"/>
        <v>46.696192692829335</v>
      </c>
      <c r="G5" s="6">
        <f t="shared" ca="1" si="5"/>
        <v>7</v>
      </c>
      <c r="H5" s="6">
        <f t="shared" si="14"/>
        <v>7.0000000007043894</v>
      </c>
      <c r="I5" s="8">
        <f t="shared" ca="1" si="15"/>
        <v>-7.0438943566841772E-10</v>
      </c>
      <c r="J5" s="13">
        <f t="shared" ca="1" si="16"/>
        <v>-1.0062706223834539E-10</v>
      </c>
      <c r="K5" s="54">
        <v>0.34209316520591754</v>
      </c>
      <c r="L5" s="13">
        <f t="shared" si="17"/>
        <v>2.2590956554521258E-2</v>
      </c>
      <c r="M5" s="17">
        <f t="shared" ca="1" si="18"/>
        <v>4.4999999999999998E-2</v>
      </c>
      <c r="N5" s="7">
        <f t="shared" ca="1" si="19"/>
        <v>4.4999999999999993E-4</v>
      </c>
      <c r="O5" s="9">
        <f t="shared" ca="1" si="20"/>
        <v>0.76763589786250563</v>
      </c>
      <c r="P5" s="6">
        <f t="shared" ca="1" si="21"/>
        <v>0.32584387174175972</v>
      </c>
      <c r="Q5" s="9">
        <f t="shared" ca="1" si="22"/>
        <v>7.535589230123052E-2</v>
      </c>
      <c r="R5" s="9">
        <f t="shared" ca="1" si="23"/>
        <v>3.1986851806122832E-2</v>
      </c>
      <c r="S5" s="9">
        <f t="shared" ca="1" si="24"/>
        <v>0.16714346597623003</v>
      </c>
      <c r="T5" s="6">
        <f t="shared" ca="1" si="25"/>
        <v>0.28153232358217772</v>
      </c>
      <c r="U5" s="9">
        <f t="shared" ca="1" si="26"/>
        <v>1.1261292943287109E-2</v>
      </c>
      <c r="V5" s="56">
        <f t="shared" ca="1" si="27"/>
        <v>724.09749275946615</v>
      </c>
      <c r="W5" s="60">
        <f t="shared" ca="1" si="28"/>
        <v>2225.1453488372085</v>
      </c>
      <c r="X5" s="18" t="str">
        <f t="shared" ca="1" si="29"/>
        <v>Good</v>
      </c>
      <c r="Y5" s="9"/>
      <c r="Z5" s="18"/>
    </row>
    <row r="6" spans="1:26" x14ac:dyDescent="0.25">
      <c r="A6">
        <v>0.05</v>
      </c>
      <c r="B6" s="6">
        <f t="shared" si="0"/>
        <v>1.1780972450961724</v>
      </c>
      <c r="C6" s="6">
        <f t="shared" si="1"/>
        <v>1.5452873903915709</v>
      </c>
      <c r="D6" s="7">
        <f t="shared" ca="1" si="2"/>
        <v>52076.38880162123</v>
      </c>
      <c r="E6" s="8">
        <f t="shared" si="3"/>
        <v>46.825475096027638</v>
      </c>
      <c r="F6" s="8">
        <f t="shared" si="4"/>
        <v>40.325475095727015</v>
      </c>
      <c r="G6" s="6">
        <f t="shared" ca="1" si="5"/>
        <v>6.5</v>
      </c>
      <c r="H6" s="6">
        <f t="shared" si="14"/>
        <v>6.5000000003006235</v>
      </c>
      <c r="I6" s="8">
        <f t="shared" ca="1" si="15"/>
        <v>-3.0062352607274079E-10</v>
      </c>
      <c r="J6" s="13">
        <f t="shared" ca="1" si="16"/>
        <v>-4.624977324196012E-11</v>
      </c>
      <c r="K6" s="54">
        <v>0.33484386190486143</v>
      </c>
      <c r="L6" s="13">
        <f t="shared" si="17"/>
        <v>4.330325170039586E-2</v>
      </c>
      <c r="M6" s="17">
        <f t="shared" ca="1" si="18"/>
        <v>4.47744346697979E-2</v>
      </c>
      <c r="N6" s="7">
        <f t="shared" ca="1" si="19"/>
        <v>4.4774434669797895E-4</v>
      </c>
      <c r="O6" s="9">
        <f t="shared" ca="1" si="20"/>
        <v>0.71280476230089806</v>
      </c>
      <c r="P6" s="6">
        <f t="shared" ca="1" si="21"/>
        <v>0.38071342235411848</v>
      </c>
      <c r="Q6" s="9">
        <f t="shared" ca="1" si="22"/>
        <v>7.0485437749530394E-2</v>
      </c>
      <c r="R6" s="9">
        <f t="shared" ca="1" si="23"/>
        <v>3.7646707276661084E-2</v>
      </c>
      <c r="S6" s="9">
        <f t="shared" ca="1" si="24"/>
        <v>0.23303812574382421</v>
      </c>
      <c r="T6" s="6">
        <f t="shared" ca="1" si="25"/>
        <v>0.30340272984791283</v>
      </c>
      <c r="U6" s="9">
        <f t="shared" ca="1" si="26"/>
        <v>1.5170136492395642E-2</v>
      </c>
      <c r="V6" s="56">
        <f t="shared" ca="1" si="27"/>
        <v>850.29196942809097</v>
      </c>
      <c r="W6" s="60">
        <f t="shared" ca="1" si="28"/>
        <v>2358.8597842835125</v>
      </c>
      <c r="X6" s="18" t="str">
        <f t="shared" ca="1" si="29"/>
        <v>Good</v>
      </c>
      <c r="Y6" s="9"/>
      <c r="Z6" s="18"/>
    </row>
    <row r="7" spans="1:26" x14ac:dyDescent="0.25">
      <c r="A7">
        <v>0.06</v>
      </c>
      <c r="B7" s="6">
        <f t="shared" si="0"/>
        <v>1.4137166941154067</v>
      </c>
      <c r="C7" s="6">
        <f t="shared" si="1"/>
        <v>1.7316451400967217</v>
      </c>
      <c r="D7" s="7">
        <f t="shared" ca="1" si="2"/>
        <v>58356.669537867623</v>
      </c>
      <c r="E7" s="8">
        <f t="shared" si="3"/>
        <v>41.773881390734367</v>
      </c>
      <c r="F7" s="8">
        <f t="shared" si="4"/>
        <v>35.273881390585245</v>
      </c>
      <c r="G7" s="6">
        <f t="shared" ca="1" si="5"/>
        <v>6.5</v>
      </c>
      <c r="H7" s="6">
        <f t="shared" si="14"/>
        <v>6.5000000001491216</v>
      </c>
      <c r="I7" s="8">
        <f t="shared" ca="1" si="15"/>
        <v>-1.4912160395397223E-10</v>
      </c>
      <c r="J7" s="13">
        <f t="shared" ca="1" si="16"/>
        <v>-2.2941785223688036E-11</v>
      </c>
      <c r="K7" s="54">
        <v>0.33675985117163054</v>
      </c>
      <c r="L7" s="13">
        <f t="shared" si="17"/>
        <v>3.7828996652484105E-2</v>
      </c>
      <c r="M7" s="17">
        <f t="shared" ca="1" si="18"/>
        <v>4.4090815370097208E-2</v>
      </c>
      <c r="N7" s="7">
        <f t="shared" ca="1" si="19"/>
        <v>4.4090815370097204E-4</v>
      </c>
      <c r="O7" s="9">
        <f t="shared" ca="1" si="20"/>
        <v>0.71280476230089806</v>
      </c>
      <c r="P7" s="6">
        <f t="shared" ca="1" si="21"/>
        <v>0.47077726653061497</v>
      </c>
      <c r="Q7" s="9">
        <f t="shared" ca="1" si="22"/>
        <v>7.0485437749530394E-2</v>
      </c>
      <c r="R7" s="9">
        <f t="shared" ca="1" si="23"/>
        <v>4.6552637508796763E-2</v>
      </c>
      <c r="S7" s="9">
        <f t="shared" ca="1" si="24"/>
        <v>0.32008313784332787</v>
      </c>
      <c r="T7" s="6">
        <f t="shared" ca="1" si="25"/>
        <v>0.34834633284912336</v>
      </c>
      <c r="U7" s="9">
        <f t="shared" ca="1" si="26"/>
        <v>2.09007799709474E-2</v>
      </c>
      <c r="V7" s="56">
        <f t="shared" ca="1" si="27"/>
        <v>1067.7445236131887</v>
      </c>
      <c r="W7" s="60">
        <f t="shared" ca="1" si="28"/>
        <v>2501.4705882352928</v>
      </c>
      <c r="X7" s="18" t="str">
        <f t="shared" ca="1" si="29"/>
        <v>Good</v>
      </c>
      <c r="Y7" s="9"/>
      <c r="Z7" s="18"/>
    </row>
    <row r="8" spans="1:26" x14ac:dyDescent="0.25">
      <c r="A8">
        <v>7.0000000000000007E-2</v>
      </c>
      <c r="B8" s="6">
        <f t="shared" si="0"/>
        <v>1.6493361431346414</v>
      </c>
      <c r="C8" s="6">
        <f t="shared" si="1"/>
        <v>1.928810439895599</v>
      </c>
      <c r="D8" s="7">
        <f t="shared" ca="1" si="2"/>
        <v>65001.166137243068</v>
      </c>
      <c r="E8" s="8">
        <f t="shared" si="3"/>
        <v>37.728623689035864</v>
      </c>
      <c r="F8" s="8">
        <f t="shared" si="4"/>
        <v>31.228623688943681</v>
      </c>
      <c r="G8" s="6">
        <f t="shared" ca="1" si="5"/>
        <v>6.5</v>
      </c>
      <c r="H8" s="6">
        <f t="shared" si="14"/>
        <v>6.5000000000921823</v>
      </c>
      <c r="I8" s="8">
        <f t="shared" ca="1" si="15"/>
        <v>-9.2182261823836598E-11</v>
      </c>
      <c r="J8" s="13">
        <f t="shared" ca="1" si="16"/>
        <v>-1.41818864344364E-11</v>
      </c>
      <c r="K8" s="54">
        <v>0.34028493814126387</v>
      </c>
      <c r="L8" s="13">
        <f t="shared" si="17"/>
        <v>2.7757319596388878E-2</v>
      </c>
      <c r="M8" s="17">
        <f t="shared" ca="1" si="18"/>
        <v>4.2927264063762557E-2</v>
      </c>
      <c r="N8" s="7">
        <f t="shared" ca="1" si="19"/>
        <v>4.2927264063762549E-4</v>
      </c>
      <c r="O8" s="9">
        <f t="shared" ca="1" si="20"/>
        <v>0.71280476230089806</v>
      </c>
      <c r="P8" s="6">
        <f t="shared" ca="1" si="21"/>
        <v>0.56867202189867272</v>
      </c>
      <c r="Q8" s="9">
        <f t="shared" ca="1" si="22"/>
        <v>7.0485437749530394E-2</v>
      </c>
      <c r="R8" s="9">
        <f t="shared" ca="1" si="23"/>
        <v>5.6232924524875862E-2</v>
      </c>
      <c r="S8" s="9">
        <f t="shared" ca="1" si="24"/>
        <v>0.41536272063652896</v>
      </c>
      <c r="T8" s="6">
        <f t="shared" ca="1" si="25"/>
        <v>0.39245868648351473</v>
      </c>
      <c r="U8" s="9">
        <f t="shared" ca="1" si="26"/>
        <v>2.7472108053846034E-2</v>
      </c>
      <c r="V8" s="56">
        <f t="shared" ca="1" si="27"/>
        <v>1324.7339058319408</v>
      </c>
      <c r="W8" s="60">
        <f t="shared" ca="1" si="28"/>
        <v>2653.2062391681097</v>
      </c>
      <c r="X8" s="18" t="str">
        <f t="shared" ca="1" si="29"/>
        <v>Good</v>
      </c>
      <c r="Y8" s="9"/>
      <c r="Z8" s="18"/>
    </row>
    <row r="9" spans="1:26" x14ac:dyDescent="0.25">
      <c r="A9">
        <v>0.08</v>
      </c>
      <c r="B9" s="6">
        <f t="shared" si="0"/>
        <v>1.8849555921538759</v>
      </c>
      <c r="C9" s="6">
        <f t="shared" si="1"/>
        <v>2.1337894892402507</v>
      </c>
      <c r="D9" s="7">
        <f t="shared" ca="1" si="2"/>
        <v>71908.987126550361</v>
      </c>
      <c r="E9" s="8">
        <f t="shared" si="3"/>
        <v>34.446687245543622</v>
      </c>
      <c r="F9" s="8">
        <f t="shared" si="4"/>
        <v>27.94668724547887</v>
      </c>
      <c r="G9" s="6">
        <f t="shared" ca="1" si="5"/>
        <v>6.5</v>
      </c>
      <c r="H9" s="6">
        <f t="shared" si="14"/>
        <v>6.5000000000647518</v>
      </c>
      <c r="I9" s="8">
        <f t="shared" ca="1" si="15"/>
        <v>-6.475175950981793E-11</v>
      </c>
      <c r="J9" s="13">
        <f t="shared" ca="1" si="16"/>
        <v>-9.9618091553566046E-12</v>
      </c>
      <c r="K9" s="54">
        <v>0.34477689169639902</v>
      </c>
      <c r="L9" s="13">
        <f t="shared" si="17"/>
        <v>1.4923166581717013E-2</v>
      </c>
      <c r="M9" s="17">
        <f t="shared" ca="1" si="18"/>
        <v>4.1243181254602565E-2</v>
      </c>
      <c r="N9" s="7">
        <f t="shared" ca="1" si="19"/>
        <v>4.1243181254602558E-4</v>
      </c>
      <c r="O9" s="9">
        <f t="shared" ca="1" si="20"/>
        <v>0.71280476230089806</v>
      </c>
      <c r="P9" s="6">
        <f t="shared" ca="1" si="21"/>
        <v>0.66865924828524737</v>
      </c>
      <c r="Q9" s="9">
        <f t="shared" ca="1" si="22"/>
        <v>7.0485437749530394E-2</v>
      </c>
      <c r="R9" s="9">
        <f t="shared" ca="1" si="23"/>
        <v>6.6120124770942784E-2</v>
      </c>
      <c r="S9" s="9">
        <f t="shared" ca="1" si="24"/>
        <v>0.51401163201940658</v>
      </c>
      <c r="T9" s="6">
        <f t="shared" ca="1" si="25"/>
        <v>0.43274600329276675</v>
      </c>
      <c r="U9" s="9">
        <f t="shared" ca="1" si="26"/>
        <v>3.461968026342134E-2</v>
      </c>
      <c r="V9" s="56">
        <f t="shared" ca="1" si="27"/>
        <v>1621.2601160843478</v>
      </c>
      <c r="W9" s="60">
        <f t="shared" ca="1" si="28"/>
        <v>2814.1544117647045</v>
      </c>
      <c r="X9" s="18" t="str">
        <f t="shared" ca="1" si="29"/>
        <v>Good</v>
      </c>
      <c r="Y9" s="9"/>
      <c r="Z9" s="18"/>
    </row>
    <row r="10" spans="1:26" x14ac:dyDescent="0.25">
      <c r="A10">
        <v>0.09</v>
      </c>
      <c r="B10" s="6">
        <f t="shared" si="0"/>
        <v>2.1205750411731099</v>
      </c>
      <c r="C10" s="6">
        <f t="shared" si="1"/>
        <v>2.3445337500761929</v>
      </c>
      <c r="D10" s="7">
        <f t="shared" ca="1" si="2"/>
        <v>79011.096503254594</v>
      </c>
      <c r="E10" s="8">
        <f t="shared" si="3"/>
        <v>31.747168177046596</v>
      </c>
      <c r="F10" s="8">
        <f t="shared" si="4"/>
        <v>25.247168176997498</v>
      </c>
      <c r="G10" s="6">
        <f t="shared" ca="1" si="5"/>
        <v>6.5</v>
      </c>
      <c r="H10" s="6">
        <f t="shared" si="14"/>
        <v>6.5000000000490985</v>
      </c>
      <c r="I10" s="8">
        <f t="shared" ca="1" si="15"/>
        <v>-4.9098503041022923E-11</v>
      </c>
      <c r="J10" s="13">
        <f t="shared" ca="1" si="16"/>
        <v>-7.5536158524650652E-12</v>
      </c>
      <c r="K10" s="54">
        <v>0.34989512363497399</v>
      </c>
      <c r="L10" s="13">
        <f t="shared" si="17"/>
        <v>2.9964675721710118E-4</v>
      </c>
      <c r="M10" s="17">
        <f t="shared" ca="1" si="18"/>
        <v>3.8971143170299739E-2</v>
      </c>
      <c r="N10" s="7">
        <f t="shared" ca="1" si="19"/>
        <v>3.8971143170299735E-4</v>
      </c>
      <c r="O10" s="9">
        <f t="shared" ca="1" si="20"/>
        <v>0.71280476230089806</v>
      </c>
      <c r="P10" s="6">
        <f t="shared" ca="1" si="21"/>
        <v>0.76279120879511808</v>
      </c>
      <c r="Q10" s="9">
        <f t="shared" ca="1" si="22"/>
        <v>7.0485437749530394E-2</v>
      </c>
      <c r="R10" s="9">
        <f t="shared" ca="1" si="23"/>
        <v>7.5428329196152458E-2</v>
      </c>
      <c r="S10" s="9">
        <f t="shared" ca="1" si="24"/>
        <v>0.60897277255080096</v>
      </c>
      <c r="T10" s="6">
        <f t="shared" ca="1" si="25"/>
        <v>0.46550190477830583</v>
      </c>
      <c r="U10" s="9">
        <f t="shared" ca="1" si="26"/>
        <v>4.189517143004752E-2</v>
      </c>
      <c r="V10" s="56">
        <f t="shared" ca="1" si="27"/>
        <v>1957.3231543704067</v>
      </c>
      <c r="W10" s="60">
        <f t="shared" ca="1" si="28"/>
        <v>2984.2105263157882</v>
      </c>
      <c r="X10" s="18" t="str">
        <f t="shared" ca="1" si="29"/>
        <v>Good</v>
      </c>
      <c r="Y10" s="9"/>
      <c r="Z10" s="18"/>
    </row>
    <row r="11" spans="1:26" x14ac:dyDescent="0.25">
      <c r="A11">
        <v>0.1</v>
      </c>
      <c r="B11" s="6">
        <f t="shared" si="0"/>
        <v>2.3561944901923448</v>
      </c>
      <c r="C11" s="6">
        <f t="shared" si="1"/>
        <v>2.5596195958799743</v>
      </c>
      <c r="D11" s="7">
        <f t="shared" ca="1" si="2"/>
        <v>86259.51786581098</v>
      </c>
      <c r="E11" s="8">
        <f t="shared" si="3"/>
        <v>29.497007671829596</v>
      </c>
      <c r="F11" s="8">
        <f t="shared" si="4"/>
        <v>22.997007671790534</v>
      </c>
      <c r="G11" s="6">
        <f t="shared" ca="1" si="5"/>
        <v>6.5</v>
      </c>
      <c r="H11" s="6">
        <f t="shared" si="14"/>
        <v>6.5000000000390621</v>
      </c>
      <c r="I11" s="8">
        <f t="shared" ca="1" si="15"/>
        <v>-3.9062086898411508E-11</v>
      </c>
      <c r="J11" s="13">
        <f t="shared" ca="1" si="16"/>
        <v>-6.009551830524847E-12</v>
      </c>
      <c r="K11" s="54">
        <v>0.35544220354136774</v>
      </c>
      <c r="L11" s="13">
        <f t="shared" si="17"/>
        <v>-1.5549152975336466E-2</v>
      </c>
      <c r="M11" s="17">
        <f t="shared" ca="1" si="18"/>
        <v>3.6000000000000004E-2</v>
      </c>
      <c r="N11" s="7">
        <f t="shared" ca="1" si="19"/>
        <v>3.5999999999999997E-4</v>
      </c>
      <c r="O11" s="9">
        <f t="shared" ca="1" si="20"/>
        <v>0.71280476230089806</v>
      </c>
      <c r="P11" s="6">
        <f t="shared" ca="1" si="21"/>
        <v>0.83985228744844387</v>
      </c>
      <c r="Q11" s="9">
        <f t="shared" ca="1" si="22"/>
        <v>7.0485437749530394E-2</v>
      </c>
      <c r="R11" s="9">
        <f t="shared" ca="1" si="23"/>
        <v>8.3048485723723142E-2</v>
      </c>
      <c r="S11" s="9">
        <f t="shared" ca="1" si="24"/>
        <v>0.69010056390584462</v>
      </c>
      <c r="T11" s="6">
        <f t="shared" ca="1" si="25"/>
        <v>0.48580873541983816</v>
      </c>
      <c r="U11" s="9">
        <f t="shared" ca="1" si="26"/>
        <v>4.8580873541983816E-2</v>
      </c>
      <c r="V11" s="56">
        <f t="shared" ca="1" si="27"/>
        <v>2332.923020690122</v>
      </c>
      <c r="W11" s="60">
        <f t="shared" ca="1" si="28"/>
        <v>3163.0165289256183</v>
      </c>
      <c r="X11" s="18" t="str">
        <f t="shared" ca="1" si="29"/>
        <v>Good</v>
      </c>
      <c r="Y11" s="33" t="s">
        <v>85</v>
      </c>
      <c r="Z11" s="18"/>
    </row>
    <row r="12" spans="1:26" x14ac:dyDescent="0.25">
      <c r="A12">
        <v>0.11</v>
      </c>
      <c r="B12" s="6">
        <f t="shared" si="0"/>
        <v>2.5918139392115793</v>
      </c>
      <c r="C12" s="6">
        <f t="shared" si="1"/>
        <v>2.7780387858148137</v>
      </c>
      <c r="D12" s="7">
        <f t="shared" ca="1" si="2"/>
        <v>93620.273365083907</v>
      </c>
      <c r="E12" s="8">
        <f t="shared" si="3"/>
        <v>27.598118824526821</v>
      </c>
      <c r="F12" s="8">
        <f t="shared" si="4"/>
        <v>21.098118824494733</v>
      </c>
      <c r="G12" s="6">
        <f t="shared" ca="1" si="5"/>
        <v>6.5</v>
      </c>
      <c r="H12" s="6">
        <f t="shared" si="14"/>
        <v>6.5000000000320881</v>
      </c>
      <c r="I12" s="8">
        <f t="shared" ca="1" si="15"/>
        <v>-3.2088109946926124E-11</v>
      </c>
      <c r="J12" s="13">
        <f t="shared" ca="1" si="16"/>
        <v>-4.9366322995270957E-12</v>
      </c>
      <c r="K12" s="54">
        <v>0.36129579499497494</v>
      </c>
      <c r="L12" s="13">
        <f t="shared" si="17"/>
        <v>-3.2273699985642751E-2</v>
      </c>
      <c r="M12" s="17">
        <f t="shared" ca="1" si="18"/>
        <v>3.2136427928442832E-2</v>
      </c>
      <c r="N12" s="7">
        <f t="shared" ca="1" si="19"/>
        <v>3.2136427928442825E-4</v>
      </c>
      <c r="O12" s="9">
        <f t="shared" ca="1" si="20"/>
        <v>0.71280476230089806</v>
      </c>
      <c r="P12" s="6">
        <f t="shared" ca="1" si="21"/>
        <v>0.88312822975552285</v>
      </c>
      <c r="Q12" s="9">
        <f t="shared" ca="1" si="22"/>
        <v>7.0485437749530394E-2</v>
      </c>
      <c r="R12" s="9">
        <f t="shared" ca="1" si="23"/>
        <v>8.7327811422518414E-2</v>
      </c>
      <c r="S12" s="9">
        <f t="shared" ca="1" si="24"/>
        <v>0.74218874336752039</v>
      </c>
      <c r="T12" s="6">
        <f t="shared" ca="1" si="25"/>
        <v>0.48651565859436785</v>
      </c>
      <c r="U12" s="9">
        <f t="shared" ca="1" si="26"/>
        <v>5.3516722445380464E-2</v>
      </c>
      <c r="V12" s="56">
        <f t="shared" ca="1" si="27"/>
        <v>2748.0597150434915</v>
      </c>
      <c r="W12" s="60">
        <f t="shared" ca="1" si="28"/>
        <v>3349.8905908096267</v>
      </c>
      <c r="X12" s="18" t="str">
        <f t="shared" ca="1" si="29"/>
        <v>Good</v>
      </c>
      <c r="Y12" s="33" t="s">
        <v>86</v>
      </c>
      <c r="Z12" s="18"/>
    </row>
    <row r="13" spans="1:26" x14ac:dyDescent="0.25">
      <c r="A13">
        <v>0.12</v>
      </c>
      <c r="B13" s="6">
        <f t="shared" si="0"/>
        <v>2.8274333882308134</v>
      </c>
      <c r="C13" s="6">
        <f t="shared" si="1"/>
        <v>2.9990631145213298</v>
      </c>
      <c r="D13" s="7">
        <f t="shared" ca="1" si="2"/>
        <v>101068.82238444866</v>
      </c>
      <c r="E13" s="8">
        <f t="shared" si="3"/>
        <v>25.477548936336817</v>
      </c>
      <c r="F13" s="8">
        <f t="shared" si="4"/>
        <v>19.477548933942966</v>
      </c>
      <c r="G13" s="6">
        <f t="shared" ca="1" si="5"/>
        <v>6</v>
      </c>
      <c r="H13" s="6">
        <f t="shared" si="14"/>
        <v>6.0000000023938505</v>
      </c>
      <c r="I13" s="8">
        <f t="shared" ca="1" si="15"/>
        <v>-2.3938504511988867E-9</v>
      </c>
      <c r="J13" s="13">
        <f t="shared" ca="1" si="16"/>
        <v>-3.9897507519981446E-10</v>
      </c>
      <c r="K13" s="54">
        <v>0.35926848744905437</v>
      </c>
      <c r="L13" s="13">
        <f t="shared" si="17"/>
        <v>-2.6481392711583993E-2</v>
      </c>
      <c r="M13" s="17">
        <f t="shared" ca="1" si="18"/>
        <v>2.7000000000000003E-2</v>
      </c>
      <c r="N13" s="7">
        <f t="shared" ca="1" si="19"/>
        <v>2.7E-4</v>
      </c>
      <c r="O13" s="9">
        <f t="shared" ca="1" si="20"/>
        <v>0.65797362673929061</v>
      </c>
      <c r="P13" s="6">
        <f t="shared" ca="1" si="21"/>
        <v>0.79821966840575909</v>
      </c>
      <c r="Q13" s="9">
        <f t="shared" ca="1" si="22"/>
        <v>6.597575760906732E-2</v>
      </c>
      <c r="R13" s="9">
        <f t="shared" ca="1" si="23"/>
        <v>8.0038386375013787E-2</v>
      </c>
      <c r="S13" s="9">
        <f t="shared" ca="1" si="24"/>
        <v>0.68616682224142089</v>
      </c>
      <c r="T13" s="6">
        <f t="shared" ca="1" si="25"/>
        <v>0.41561505552425115</v>
      </c>
      <c r="U13" s="9">
        <f t="shared" ca="1" si="26"/>
        <v>4.9873806662910136E-2</v>
      </c>
      <c r="V13" s="56">
        <f t="shared" ca="1" si="27"/>
        <v>2956.3691422435522</v>
      </c>
      <c r="W13" s="60">
        <f t="shared" ca="1" si="28"/>
        <v>3543.7499999999982</v>
      </c>
      <c r="X13" s="18" t="str">
        <f t="shared" ca="1" si="29"/>
        <v>Good</v>
      </c>
      <c r="Y13" s="33" t="s">
        <v>87</v>
      </c>
      <c r="Z13" s="18"/>
    </row>
    <row r="14" spans="1:26" x14ac:dyDescent="0.25">
      <c r="A14">
        <v>0.13</v>
      </c>
      <c r="B14" s="6">
        <f t="shared" si="0"/>
        <v>3.0630528372500483</v>
      </c>
      <c r="C14" s="6">
        <f t="shared" si="1"/>
        <v>3.2221565268908909</v>
      </c>
      <c r="D14" s="7">
        <f t="shared" ca="1" si="2"/>
        <v>108587.09979606576</v>
      </c>
      <c r="E14" s="8">
        <f t="shared" si="3"/>
        <v>24.080393987695306</v>
      </c>
      <c r="F14" s="8">
        <f t="shared" si="4"/>
        <v>18.080393994569338</v>
      </c>
      <c r="G14" s="6">
        <f t="shared" ca="1" si="5"/>
        <v>6</v>
      </c>
      <c r="H14" s="6">
        <f t="shared" si="14"/>
        <v>5.999999993125968</v>
      </c>
      <c r="I14" s="8">
        <f t="shared" ca="1" si="15"/>
        <v>6.8740320102733676E-9</v>
      </c>
      <c r="J14" s="13">
        <f t="shared" ca="1" si="16"/>
        <v>1.1456720017122279E-9</v>
      </c>
      <c r="K14" s="54">
        <v>0.36504321774872694</v>
      </c>
      <c r="L14" s="13">
        <f t="shared" si="17"/>
        <v>-4.2980622139219909E-2</v>
      </c>
      <c r="M14" s="17">
        <f t="shared" ca="1" si="18"/>
        <v>1.9615045245933032E-2</v>
      </c>
      <c r="N14" s="7">
        <f t="shared" ca="1" si="19"/>
        <v>1.9615045245933028E-4</v>
      </c>
      <c r="O14" s="9">
        <f t="shared" ca="1" si="20"/>
        <v>0.65797362673929061</v>
      </c>
      <c r="P14" s="6">
        <f t="shared" ca="1" si="21"/>
        <v>0.66937583766796716</v>
      </c>
      <c r="Q14" s="9">
        <f t="shared" ca="1" si="22"/>
        <v>6.597575760906732E-2</v>
      </c>
      <c r="R14" s="9">
        <f t="shared" ca="1" si="23"/>
        <v>6.7119070158182428E-2</v>
      </c>
      <c r="S14" s="9">
        <f t="shared" ca="1" si="24"/>
        <v>0.58373684193550868</v>
      </c>
      <c r="T14" s="6">
        <f t="shared" ca="1" si="25"/>
        <v>0.33439539619999359</v>
      </c>
      <c r="U14" s="9">
        <f t="shared" ca="1" si="26"/>
        <v>4.3471401505999166E-2</v>
      </c>
      <c r="V14" s="56">
        <f t="shared" ca="1" si="27"/>
        <v>3412.5633118626383</v>
      </c>
      <c r="W14" s="60">
        <f t="shared" ca="1" si="28"/>
        <v>3743.0317848410732</v>
      </c>
      <c r="X14" s="18" t="str">
        <f t="shared" ca="1" si="29"/>
        <v>Good</v>
      </c>
      <c r="Y14" s="33" t="s">
        <v>88</v>
      </c>
      <c r="Z14" s="18"/>
    </row>
    <row r="15" spans="1:26" x14ac:dyDescent="0.25">
      <c r="A15">
        <v>0.14000000000000001</v>
      </c>
      <c r="B15" s="6">
        <f t="shared" si="0"/>
        <v>3.2986722862692828</v>
      </c>
      <c r="C15" s="6">
        <f t="shared" si="1"/>
        <v>3.4469172969772597</v>
      </c>
      <c r="D15" s="7">
        <f t="shared" ca="1" si="2"/>
        <v>116161.56738257963</v>
      </c>
      <c r="E15" s="8">
        <f t="shared" si="3"/>
        <v>22.864799142380459</v>
      </c>
      <c r="F15" s="8">
        <f t="shared" si="4"/>
        <v>16.864799140808408</v>
      </c>
      <c r="G15" s="6">
        <f t="shared" ca="1" si="5"/>
        <v>6</v>
      </c>
      <c r="H15" s="6">
        <f t="shared" si="14"/>
        <v>6.0000000015720509</v>
      </c>
      <c r="I15" s="8">
        <f t="shared" ca="1" si="15"/>
        <v>-1.5720509338734701E-9</v>
      </c>
      <c r="J15" s="13">
        <f t="shared" ca="1" si="16"/>
        <v>-2.6200848897891166E-10</v>
      </c>
      <c r="K15" s="54">
        <v>0.37094029866415912</v>
      </c>
      <c r="L15" s="13">
        <f t="shared" si="17"/>
        <v>-5.9829424754740408E-2</v>
      </c>
      <c r="M15" s="17">
        <f t="shared" ca="1" si="18"/>
        <v>0</v>
      </c>
      <c r="N15" s="7">
        <f t="shared" ca="1" si="19"/>
        <v>0</v>
      </c>
      <c r="O15" s="9">
        <f t="shared" ca="1" si="20"/>
        <v>0.65797362673929061</v>
      </c>
      <c r="P15" s="6">
        <f t="shared" ca="1" si="21"/>
        <v>0</v>
      </c>
      <c r="Q15" s="9">
        <f t="shared" ca="1" si="22"/>
        <v>6.597575760906732E-2</v>
      </c>
      <c r="R15" s="9">
        <f t="shared" ca="1" si="23"/>
        <v>0</v>
      </c>
      <c r="S15" s="9">
        <f t="shared" ca="1" si="24"/>
        <v>0</v>
      </c>
      <c r="T15" s="6">
        <f t="shared" ca="1" si="25"/>
        <v>0</v>
      </c>
      <c r="U15" s="9">
        <f t="shared" ca="1" si="26"/>
        <v>0</v>
      </c>
      <c r="V15" s="56" t="e">
        <f t="shared" ca="1" si="27"/>
        <v>#DIV/0!</v>
      </c>
      <c r="W15" s="60">
        <f t="shared" ca="1" si="28"/>
        <v>3945.6185567010289</v>
      </c>
      <c r="X15" s="18" t="e">
        <f t="shared" ca="1" si="29"/>
        <v>#DIV/0!</v>
      </c>
      <c r="Y15" s="9"/>
      <c r="Z15" s="18"/>
    </row>
    <row r="16" spans="1:26" x14ac:dyDescent="0.25">
      <c r="B16" s="6"/>
      <c r="C16" s="6"/>
      <c r="D16" s="7"/>
      <c r="E16" s="8"/>
      <c r="F16" s="8"/>
      <c r="G16" s="8"/>
      <c r="H16" s="8"/>
      <c r="I16" s="8"/>
      <c r="J16" s="8"/>
      <c r="N16" s="11">
        <f ca="1">SUM(N3:N15)</f>
        <v>4.6062356174283092E-3</v>
      </c>
      <c r="P16" s="12">
        <f ca="1">SUM(P3:P15)</f>
        <v>6.8321414643403466</v>
      </c>
      <c r="R16" s="12">
        <f ca="1">SUM(R3:R15)</f>
        <v>0.67706108282566801</v>
      </c>
      <c r="S16" s="12">
        <f ca="1">SUM(S3:S15)</f>
        <v>5.1058113586456386</v>
      </c>
      <c r="T16" s="12">
        <f ca="1">SUM(T3:T15)</f>
        <v>4.387690833575328</v>
      </c>
      <c r="U16" s="12">
        <f ca="1">SUM(U3:U15)</f>
        <v>0.35797705835863824</v>
      </c>
      <c r="X16" s="6"/>
    </row>
    <row r="17" spans="1:24" x14ac:dyDescent="0.25">
      <c r="B17" s="6"/>
      <c r="C17" s="6"/>
      <c r="D17" s="7"/>
      <c r="E17" s="8"/>
      <c r="F17" s="8"/>
      <c r="G17" s="8"/>
      <c r="H17" s="8"/>
      <c r="K17" s="11"/>
      <c r="M17" s="12"/>
      <c r="N17" s="6"/>
      <c r="O17" s="12"/>
      <c r="P17" s="12"/>
      <c r="Q17" s="9"/>
      <c r="R17" s="12"/>
      <c r="S17" s="12"/>
    </row>
    <row r="18" spans="1:24" x14ac:dyDescent="0.25">
      <c r="A18" s="84" t="s">
        <v>1</v>
      </c>
      <c r="B18" s="84"/>
      <c r="C18" s="84"/>
      <c r="D18" s="7"/>
      <c r="E18" s="82" t="s">
        <v>30</v>
      </c>
      <c r="F18" s="83"/>
      <c r="G18" s="8"/>
      <c r="H18" s="25" t="s">
        <v>26</v>
      </c>
      <c r="I18" s="25" t="s">
        <v>53</v>
      </c>
      <c r="J18" s="25" t="s">
        <v>27</v>
      </c>
      <c r="K18" s="25" t="s">
        <v>28</v>
      </c>
      <c r="L18" s="25" t="s">
        <v>29</v>
      </c>
      <c r="M18" s="26" t="s">
        <v>31</v>
      </c>
      <c r="O18" s="85" t="s">
        <v>77</v>
      </c>
      <c r="P18" s="85"/>
      <c r="Q18" s="85"/>
      <c r="R18" s="38" t="s">
        <v>10</v>
      </c>
      <c r="S18" s="9"/>
      <c r="T18" s="32" t="s">
        <v>82</v>
      </c>
      <c r="U18" s="48" t="s">
        <v>107</v>
      </c>
      <c r="V18" s="6"/>
      <c r="W18" s="9"/>
      <c r="X18" s="8"/>
    </row>
    <row r="19" spans="1:24" x14ac:dyDescent="0.25">
      <c r="A19" s="20" t="s">
        <v>8</v>
      </c>
      <c r="B19" s="20">
        <f ca="1">0.01*VLOOKUP(LEFT($O$39,SEARCH("-",$O$39)-1),'Summary+ellip'!$A$2:$C$6,3,0)</f>
        <v>0.14000000000000001</v>
      </c>
      <c r="C19" s="20" t="s">
        <v>9</v>
      </c>
      <c r="D19" s="7"/>
      <c r="E19" s="10" t="s">
        <v>31</v>
      </c>
      <c r="F19" s="10" t="s">
        <v>32</v>
      </c>
      <c r="G19" s="8"/>
      <c r="H19" s="10">
        <v>0.5</v>
      </c>
      <c r="I19" s="10">
        <v>999.1</v>
      </c>
      <c r="J19" s="23">
        <v>1.1379999999999999E-3</v>
      </c>
      <c r="K19" s="23">
        <f>J19/I19</f>
        <v>1.1390251226103492E-6</v>
      </c>
      <c r="L19" s="34">
        <f ca="1">B25</f>
        <v>3.8385296811902586E-2</v>
      </c>
      <c r="M19" s="14">
        <f ca="1">H19*L19/K19</f>
        <v>16850.065924767961</v>
      </c>
      <c r="O19" s="10" t="s">
        <v>65</v>
      </c>
      <c r="P19" s="20" t="s">
        <v>64</v>
      </c>
      <c r="Q19" s="20" t="s">
        <v>66</v>
      </c>
      <c r="R19" s="20" t="s">
        <v>78</v>
      </c>
      <c r="T19" s="35">
        <f ca="1">S16*B20</f>
        <v>5.1058113586456386</v>
      </c>
      <c r="U19" s="49">
        <f ca="1">B28</f>
        <v>0.98138406813855572</v>
      </c>
    </row>
    <row r="20" spans="1:24" x14ac:dyDescent="0.25">
      <c r="A20" s="20" t="s">
        <v>13</v>
      </c>
      <c r="B20" s="20">
        <v>1</v>
      </c>
      <c r="C20" s="20" t="s">
        <v>14</v>
      </c>
      <c r="E20" s="14">
        <v>25000</v>
      </c>
      <c r="F20" s="63">
        <f ca="1">IF(RIGHT($A$1,4)*1=2411,VLOOKUP(E20,AofAs!B5:$D$10,3,0),VLOOKUP(E20,AofAs!$B$13:$D$18,3,0))</f>
        <v>7</v>
      </c>
      <c r="H20" s="10">
        <v>3</v>
      </c>
      <c r="I20" s="10">
        <v>999.1</v>
      </c>
      <c r="J20" s="23">
        <v>1.1379999999999999E-3</v>
      </c>
      <c r="K20" s="23">
        <f>J20/I20</f>
        <v>1.1390251226103492E-6</v>
      </c>
      <c r="L20" s="34">
        <f ca="1">L19</f>
        <v>3.8385296811902586E-2</v>
      </c>
      <c r="M20" s="14">
        <f ca="1">H20*L20/K20</f>
        <v>101100.39554860776</v>
      </c>
      <c r="O20" s="20">
        <v>2</v>
      </c>
      <c r="P20" s="21">
        <f ca="1">SQRT(($P$37-(O20*2-$P$38)^2)/$P$35)</f>
        <v>2.4494897427831779</v>
      </c>
      <c r="Q20" s="21">
        <f ca="1">-SQRT(($P$37-(O20*2-$P$38)^2)/$P$36)</f>
        <v>-1.9595917942265424</v>
      </c>
      <c r="R20" s="34">
        <f ca="1">(P20-Q20)*0.01</f>
        <v>4.4090815370097208E-2</v>
      </c>
      <c r="T20" s="32" t="s">
        <v>83</v>
      </c>
      <c r="U20" s="48" t="s">
        <v>108</v>
      </c>
      <c r="V20" s="13"/>
    </row>
    <row r="21" spans="1:24" x14ac:dyDescent="0.25">
      <c r="A21" s="20" t="s">
        <v>15</v>
      </c>
      <c r="B21" s="20">
        <v>3.75</v>
      </c>
      <c r="C21" s="20" t="s">
        <v>16</v>
      </c>
      <c r="E21" s="14">
        <v>50000</v>
      </c>
      <c r="F21" s="63">
        <f ca="1">IF(RIGHT($A$1,4)*1=2411,VLOOKUP(E21,AofAs!B6:$D$10,3,0),VLOOKUP(E21,AofAs!$B$13:$D$18,3,0))</f>
        <v>6.5</v>
      </c>
      <c r="H21" s="8"/>
      <c r="O21" s="10">
        <v>3</v>
      </c>
      <c r="P21" s="21">
        <f t="shared" ref="P21:P32" ca="1" si="30">SQRT(($P$37-(O21*2-$P$38)^2)/$P$35)</f>
        <v>2.4874685927665499</v>
      </c>
      <c r="Q21" s="21">
        <f t="shared" ref="Q21:Q32" ca="1" si="31">-SQRT(($P$37-(O21*2-$P$38)^2)/$P$36)</f>
        <v>-1.9899748742132399</v>
      </c>
      <c r="R21" s="34">
        <f t="shared" ref="R21:R32" ca="1" si="32">(P21-Q21)*0.01</f>
        <v>4.47744346697979E-2</v>
      </c>
      <c r="T21" s="35">
        <f ca="1">U16*B22</f>
        <v>8.4346357251988682</v>
      </c>
      <c r="U21" s="49">
        <f>B27</f>
        <v>0.35329826452988011</v>
      </c>
    </row>
    <row r="22" spans="1:24" x14ac:dyDescent="0.25">
      <c r="A22" s="20" t="s">
        <v>17</v>
      </c>
      <c r="B22" s="21">
        <f>2*PI()*B21</f>
        <v>23.561944901923447</v>
      </c>
      <c r="C22" s="20" t="s">
        <v>18</v>
      </c>
      <c r="E22" s="14">
        <v>100000</v>
      </c>
      <c r="F22" s="63">
        <f ca="1">IF(RIGHT($A$1,4)*1=2411,VLOOKUP(E22,AofAs!B7:$D$10,3,0),VLOOKUP(E22,AofAs!$B$13:$D$18,3,0))</f>
        <v>6</v>
      </c>
      <c r="H22" s="8"/>
      <c r="O22" s="10">
        <v>4</v>
      </c>
      <c r="P22" s="21">
        <f t="shared" ca="1" si="30"/>
        <v>2.5</v>
      </c>
      <c r="Q22" s="21">
        <f t="shared" ca="1" si="31"/>
        <v>-2</v>
      </c>
      <c r="R22" s="34">
        <f t="shared" ca="1" si="32"/>
        <v>4.4999999999999998E-2</v>
      </c>
      <c r="T22" s="32" t="s">
        <v>84</v>
      </c>
    </row>
    <row r="23" spans="1:24" x14ac:dyDescent="0.25">
      <c r="A23" s="20" t="s">
        <v>19</v>
      </c>
      <c r="B23" s="21">
        <v>0.04</v>
      </c>
      <c r="C23" s="20" t="s">
        <v>9</v>
      </c>
      <c r="D23" s="7"/>
      <c r="E23" s="14">
        <v>200000</v>
      </c>
      <c r="F23" s="63">
        <f ca="1">IF(RIGHT($A$1,4)*1=2411,VLOOKUP(E23,AofAs!B8:$D$10,3,0),VLOOKUP(E23,AofAs!$B$13:$D$18,3,0))</f>
        <v>5.5</v>
      </c>
      <c r="G23" s="8"/>
      <c r="H23" s="55" t="s">
        <v>125</v>
      </c>
      <c r="I23" s="14">
        <f>Pressure!$D$4</f>
        <v>3500000000</v>
      </c>
      <c r="J23" s="10" t="s">
        <v>126</v>
      </c>
      <c r="O23" s="10">
        <v>5</v>
      </c>
      <c r="P23" s="21">
        <f t="shared" ca="1" si="30"/>
        <v>2.4874685927665499</v>
      </c>
      <c r="Q23" s="21">
        <f t="shared" ca="1" si="31"/>
        <v>-1.9899748742132399</v>
      </c>
      <c r="R23" s="34">
        <f t="shared" ca="1" si="32"/>
        <v>4.47744346697979E-2</v>
      </c>
      <c r="T23" s="37">
        <f ca="1">T19/T21</f>
        <v>0.60533869214906211</v>
      </c>
    </row>
    <row r="24" spans="1:24" x14ac:dyDescent="0.25">
      <c r="A24" s="20" t="s">
        <v>20</v>
      </c>
      <c r="B24" s="20">
        <f ca="1">2*(B19+B23)</f>
        <v>0.36000000000000004</v>
      </c>
      <c r="C24" s="20" t="s">
        <v>9</v>
      </c>
      <c r="D24" s="7"/>
      <c r="E24" s="14">
        <v>500000</v>
      </c>
      <c r="F24" s="63">
        <f ca="1">IF(RIGHT($A$1,4)*1=2411,VLOOKUP(E24,AofAs!B9:$D$10,3,0),VLOOKUP(E24,AofAs!$B$13:$D$18,3,0))</f>
        <v>5</v>
      </c>
      <c r="G24" s="8"/>
      <c r="H24" s="55" t="s">
        <v>127</v>
      </c>
      <c r="I24" s="14">
        <f ca="1">VLOOKUP(O39,Pressure!$F$2:$M$11,6,0)</f>
        <v>5.2488000000000005E-10</v>
      </c>
      <c r="J24" s="10" t="s">
        <v>128</v>
      </c>
      <c r="O24" s="10">
        <v>6</v>
      </c>
      <c r="P24" s="21">
        <f t="shared" ca="1" si="30"/>
        <v>2.4494897427831779</v>
      </c>
      <c r="Q24" s="21">
        <f t="shared" ca="1" si="31"/>
        <v>-1.9595917942265424</v>
      </c>
      <c r="R24" s="34">
        <f t="shared" ca="1" si="32"/>
        <v>4.4090815370097208E-2</v>
      </c>
      <c r="T24" s="32" t="s">
        <v>92</v>
      </c>
    </row>
    <row r="25" spans="1:24" x14ac:dyDescent="0.25">
      <c r="A25" s="20" t="s">
        <v>21</v>
      </c>
      <c r="B25" s="43">
        <f ca="1">AVERAGE(M3:M14)</f>
        <v>3.8385296811902586E-2</v>
      </c>
      <c r="C25" s="20" t="s">
        <v>9</v>
      </c>
      <c r="D25" s="7"/>
      <c r="E25" s="14">
        <v>1000000</v>
      </c>
      <c r="F25" s="63">
        <f ca="1">IF(RIGHT($A$1,4)*1=2411,VLOOKUP(E25,AofAs!B10:$D$10,3,0),VLOOKUP(E25,AofAs!$B$13:$D$18,3,0))</f>
        <v>4</v>
      </c>
      <c r="G25" s="8"/>
      <c r="H25" s="55" t="s">
        <v>129</v>
      </c>
      <c r="I25" s="14">
        <f ca="1">VLOOKUP(O39,Pressure!$F$2:$M$11,7,0)</f>
        <v>6.0000000000000001E-3</v>
      </c>
      <c r="J25" s="10" t="s">
        <v>9</v>
      </c>
      <c r="O25" s="10">
        <v>7</v>
      </c>
      <c r="P25" s="21">
        <f t="shared" ca="1" si="30"/>
        <v>2.384848003542364</v>
      </c>
      <c r="Q25" s="21">
        <f t="shared" ca="1" si="31"/>
        <v>-1.9078784028338913</v>
      </c>
      <c r="R25" s="34">
        <f t="shared" ca="1" si="32"/>
        <v>4.2927264063762557E-2</v>
      </c>
      <c r="T25" s="35">
        <f ca="1">O3/Q3</f>
        <v>10.186806557792835</v>
      </c>
    </row>
    <row r="26" spans="1:24" x14ac:dyDescent="0.25">
      <c r="A26" s="20" t="s">
        <v>57</v>
      </c>
      <c r="B26" s="4">
        <v>0.35</v>
      </c>
      <c r="C26" s="20" t="s">
        <v>9</v>
      </c>
      <c r="H26" s="55" t="s">
        <v>131</v>
      </c>
      <c r="I26" s="10">
        <f>A15-A3</f>
        <v>0.12000000000000001</v>
      </c>
      <c r="J26" s="10" t="s">
        <v>9</v>
      </c>
      <c r="O26" s="10">
        <v>8</v>
      </c>
      <c r="P26" s="21">
        <f t="shared" ca="1" si="30"/>
        <v>2.2912878474779199</v>
      </c>
      <c r="Q26" s="21">
        <f t="shared" ca="1" si="31"/>
        <v>-1.833030277982336</v>
      </c>
      <c r="R26" s="34">
        <f t="shared" ca="1" si="32"/>
        <v>4.1243181254602565E-2</v>
      </c>
    </row>
    <row r="27" spans="1:24" x14ac:dyDescent="0.25">
      <c r="A27" s="20" t="s">
        <v>52</v>
      </c>
      <c r="B27" s="22">
        <f>AVERAGE(K3:K15)</f>
        <v>0.35329826452988011</v>
      </c>
      <c r="C27" s="20" t="s">
        <v>9</v>
      </c>
      <c r="O27" s="10">
        <v>9</v>
      </c>
      <c r="P27" s="21">
        <f t="shared" ca="1" si="30"/>
        <v>2.1650635094610968</v>
      </c>
      <c r="Q27" s="21">
        <f t="shared" ca="1" si="31"/>
        <v>-1.7320508075688772</v>
      </c>
      <c r="R27" s="34">
        <f t="shared" ca="1" si="32"/>
        <v>3.8971143170299739E-2</v>
      </c>
    </row>
    <row r="28" spans="1:24" x14ac:dyDescent="0.25">
      <c r="A28" s="20" t="s">
        <v>23</v>
      </c>
      <c r="B28" s="21">
        <f ca="1">B27/B24</f>
        <v>0.98138406813855572</v>
      </c>
      <c r="C28" s="20"/>
      <c r="D28" t="s">
        <v>91</v>
      </c>
      <c r="O28" s="10">
        <v>10</v>
      </c>
      <c r="P28" s="21">
        <f t="shared" ca="1" si="30"/>
        <v>2</v>
      </c>
      <c r="Q28" s="21">
        <f t="shared" ca="1" si="31"/>
        <v>-1.6</v>
      </c>
      <c r="R28" s="34">
        <f t="shared" ca="1" si="32"/>
        <v>3.6000000000000004E-2</v>
      </c>
    </row>
    <row r="29" spans="1:24" x14ac:dyDescent="0.25">
      <c r="A29" s="20" t="s">
        <v>24</v>
      </c>
      <c r="B29" s="20">
        <v>0.06</v>
      </c>
      <c r="C29" s="10"/>
      <c r="O29" s="10">
        <v>11</v>
      </c>
      <c r="P29" s="21">
        <f t="shared" ca="1" si="30"/>
        <v>1.7853571071357126</v>
      </c>
      <c r="Q29" s="21">
        <f t="shared" ca="1" si="31"/>
        <v>-1.42828568570857</v>
      </c>
      <c r="R29" s="34">
        <f t="shared" ca="1" si="32"/>
        <v>3.2136427928442832E-2</v>
      </c>
    </row>
    <row r="30" spans="1:24" x14ac:dyDescent="0.25">
      <c r="A30" s="20" t="s">
        <v>25</v>
      </c>
      <c r="B30" s="20">
        <v>0.04</v>
      </c>
      <c r="C30" s="10"/>
      <c r="O30" s="10">
        <v>12</v>
      </c>
      <c r="P30" s="21">
        <f t="shared" ca="1" si="30"/>
        <v>1.5</v>
      </c>
      <c r="Q30" s="21">
        <f t="shared" ca="1" si="31"/>
        <v>-1.2</v>
      </c>
      <c r="R30" s="34">
        <f t="shared" ca="1" si="32"/>
        <v>2.7000000000000003E-2</v>
      </c>
    </row>
    <row r="31" spans="1:24" x14ac:dyDescent="0.25">
      <c r="O31" s="10">
        <v>13</v>
      </c>
      <c r="P31" s="21">
        <f t="shared" ca="1" si="30"/>
        <v>1.0897247358851685</v>
      </c>
      <c r="Q31" s="21">
        <f t="shared" ca="1" si="31"/>
        <v>-0.87177978870813466</v>
      </c>
      <c r="R31" s="34">
        <f t="shared" ca="1" si="32"/>
        <v>1.9615045245933032E-2</v>
      </c>
    </row>
    <row r="32" spans="1:24" x14ac:dyDescent="0.25">
      <c r="O32" s="10">
        <v>14</v>
      </c>
      <c r="P32" s="21">
        <f t="shared" ca="1" si="30"/>
        <v>0</v>
      </c>
      <c r="Q32" s="21">
        <f t="shared" ca="1" si="31"/>
        <v>0</v>
      </c>
      <c r="R32" s="34">
        <f t="shared" ca="1" si="32"/>
        <v>0</v>
      </c>
    </row>
    <row r="33" spans="15:19" x14ac:dyDescent="0.25">
      <c r="R33" s="30">
        <f ca="1">AVERAGE(R20:R32)</f>
        <v>3.5432581672525464E-2</v>
      </c>
      <c r="S33" s="2" t="s">
        <v>79</v>
      </c>
    </row>
    <row r="34" spans="15:19" x14ac:dyDescent="0.25">
      <c r="O34" t="s">
        <v>46</v>
      </c>
      <c r="P34" s="1">
        <f ca="1">VLOOKUP($O$39,'Summary+ellip'!$A$16:$F$20,2,0)</f>
        <v>1</v>
      </c>
    </row>
    <row r="35" spans="15:19" x14ac:dyDescent="0.25">
      <c r="O35" t="s">
        <v>49</v>
      </c>
      <c r="P35" s="1">
        <f ca="1">VLOOKUP($O$39,'Summary+ellip'!$A$16:$F$20,3,0)</f>
        <v>64</v>
      </c>
    </row>
    <row r="36" spans="15:19" x14ac:dyDescent="0.25">
      <c r="O36" t="s">
        <v>50</v>
      </c>
      <c r="P36" s="1">
        <f ca="1">VLOOKUP($O$39,'Summary+ellip'!$A$16:$F$20,4,0)</f>
        <v>100</v>
      </c>
    </row>
    <row r="37" spans="15:19" x14ac:dyDescent="0.25">
      <c r="O37" t="s">
        <v>47</v>
      </c>
      <c r="P37" s="1">
        <f ca="1">VLOOKUP($O$39,'Summary+ellip'!$A$16:$F$20,5,0)</f>
        <v>400</v>
      </c>
    </row>
    <row r="38" spans="15:19" x14ac:dyDescent="0.25">
      <c r="O38" t="s">
        <v>67</v>
      </c>
      <c r="P38" s="1">
        <f ca="1">VLOOKUP($O$39,'Summary+ellip'!$A$16:$F$20,6,0)</f>
        <v>8</v>
      </c>
    </row>
    <row r="39" spans="15:19" x14ac:dyDescent="0.25">
      <c r="O39" s="18" t="str">
        <f ca="1">TEXT(REPLACE(CELL("filename",O39),1,SEARCH("]",CELL("filename",O39)),""),"")</f>
        <v>Devin-half</v>
      </c>
    </row>
  </sheetData>
  <mergeCells count="6">
    <mergeCell ref="C1:H1"/>
    <mergeCell ref="E18:F18"/>
    <mergeCell ref="A18:C18"/>
    <mergeCell ref="O18:Q18"/>
    <mergeCell ref="N1:X1"/>
    <mergeCell ref="L1:L2"/>
  </mergeCells>
  <conditionalFormatting sqref="H21:H22 H17 J16">
    <cfRule type="cellIs" dxfId="17" priority="40" operator="greaterThan">
      <formula>0</formula>
    </cfRule>
  </conditionalFormatting>
  <conditionalFormatting sqref="U19">
    <cfRule type="cellIs" dxfId="16" priority="38" operator="greaterThan">
      <formula>1.1</formula>
    </cfRule>
    <cfRule type="cellIs" dxfId="15" priority="39" operator="lessThan">
      <formula>0.8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57"/>
  <sheetViews>
    <sheetView zoomScale="82" zoomScaleNormal="70" workbookViewId="0">
      <selection activeCell="K4" sqref="K4"/>
    </sheetView>
  </sheetViews>
  <sheetFormatPr defaultRowHeight="15" x14ac:dyDescent="0.25"/>
  <cols>
    <col min="1" max="1" width="11.5703125" style="18" customWidth="1"/>
    <col min="2" max="2" width="6.85546875" style="18" customWidth="1"/>
    <col min="3" max="3" width="9.140625" style="18"/>
    <col min="4" max="4" width="9.7109375" style="18" customWidth="1"/>
    <col min="5" max="5" width="9.85546875" style="18" customWidth="1"/>
    <col min="6" max="6" width="10.140625" style="18" customWidth="1"/>
    <col min="7" max="7" width="8.85546875" style="18" bestFit="1" customWidth="1"/>
    <col min="8" max="8" width="7.140625" style="18" bestFit="1" customWidth="1"/>
    <col min="9" max="9" width="9" style="18" bestFit="1" customWidth="1"/>
    <col min="10" max="10" width="9.7109375" style="18" customWidth="1"/>
    <col min="11" max="11" width="9.7109375" style="18" bestFit="1" customWidth="1"/>
    <col min="12" max="12" width="9.5703125" style="18" bestFit="1" customWidth="1"/>
    <col min="13" max="13" width="9.85546875" style="18" bestFit="1" customWidth="1"/>
    <col min="14" max="14" width="15.28515625" style="18" bestFit="1" customWidth="1"/>
    <col min="15" max="15" width="8.7109375" style="18" customWidth="1"/>
    <col min="16" max="16" width="8.28515625" style="1" customWidth="1"/>
    <col min="17" max="17" width="9.85546875" style="18" customWidth="1"/>
    <col min="18" max="18" width="13.85546875" style="18" customWidth="1"/>
    <col min="19" max="19" width="12.28515625" style="18" customWidth="1"/>
    <col min="20" max="20" width="12.7109375" style="18" customWidth="1"/>
    <col min="21" max="21" width="13" style="18" customWidth="1"/>
    <col min="22" max="22" width="8.42578125" style="18" customWidth="1"/>
    <col min="23" max="23" width="11.140625" style="18" bestFit="1" customWidth="1"/>
    <col min="24" max="16384" width="9.140625" style="18"/>
  </cols>
  <sheetData>
    <row r="1" spans="1:25" x14ac:dyDescent="0.25">
      <c r="A1" s="24" t="str">
        <f ca="1">CONCATENATE("NACA "&amp;VLOOKUP(LEFT($O$39,SEARCH("-",$O$39)-1),'Summary+ellip'!$A$2:$F$6,6,0))</f>
        <v>NACA 4415</v>
      </c>
      <c r="C1" s="81" t="s">
        <v>0</v>
      </c>
      <c r="D1" s="81"/>
      <c r="E1" s="81"/>
      <c r="F1" s="81"/>
      <c r="G1" s="81"/>
      <c r="H1" s="81"/>
      <c r="I1" s="61"/>
      <c r="L1" s="15" t="s">
        <v>22</v>
      </c>
      <c r="M1" s="18" t="s">
        <v>139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5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137</v>
      </c>
      <c r="I2" s="2" t="s">
        <v>138</v>
      </c>
      <c r="J2" s="3" t="s">
        <v>6</v>
      </c>
      <c r="K2" s="39" t="s">
        <v>7</v>
      </c>
      <c r="L2" s="2" t="s">
        <v>33</v>
      </c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5" x14ac:dyDescent="0.25">
      <c r="A3" s="1">
        <v>0.02</v>
      </c>
      <c r="B3" s="6">
        <f t="shared" ref="B3:B15" si="0">A3*$B$22</f>
        <v>0.47123889803846897</v>
      </c>
      <c r="C3" s="6">
        <f t="shared" ref="C3:C15" si="1">SQRT(B3^2+$B$20^2)</f>
        <v>1.1054709851572362</v>
      </c>
      <c r="D3" s="7">
        <f t="shared" ref="D3:D15" ca="1" si="2">C3*$B$25/$K$19</f>
        <v>37254.517955635223</v>
      </c>
      <c r="E3" s="8">
        <f t="shared" ref="E3:E15" si="3">DEGREES(ATAN(K3/(2*PI()*A3)))</f>
        <v>71.768362798413321</v>
      </c>
      <c r="F3" s="8">
        <f t="shared" ref="F3:F15" si="4">DEGREES(ATAN($B$20/B3))</f>
        <v>64.768362799132177</v>
      </c>
      <c r="G3" s="6">
        <f t="shared" ref="G3:G15" ca="1" si="5">VLOOKUP(D3,$E$20:$F$25,2,1)</f>
        <v>7</v>
      </c>
      <c r="H3" s="6">
        <f>E3-F3</f>
        <v>6.9999999992811439</v>
      </c>
      <c r="I3" s="8">
        <f ca="1">G3-H3</f>
        <v>7.1885608576849336E-10</v>
      </c>
      <c r="J3" s="13">
        <f ca="1">(G3-H3)/G3</f>
        <v>1.026937265383562E-10</v>
      </c>
      <c r="K3" s="54">
        <v>0.38149824016195305</v>
      </c>
      <c r="L3" s="13">
        <f>($B$26-K3)/$B$26</f>
        <v>-5.9717333783202958E-2</v>
      </c>
      <c r="M3" s="17">
        <f ca="1">R20</f>
        <v>4.4090815370097208E-2</v>
      </c>
      <c r="N3" s="7">
        <f ca="1">M3*($A$4-$A$3)</f>
        <v>4.4090815370097204E-4</v>
      </c>
      <c r="O3" s="9">
        <f t="shared" ref="O3:O15" ca="1" si="6">2*PI()*RADIANS(G3)</f>
        <v>0.76763589786250563</v>
      </c>
      <c r="P3" s="6">
        <f t="shared" ref="P3:P15" ca="1" si="7">0.5*O3*$I$19*C3^2*N3</f>
        <v>0.20662224036077537</v>
      </c>
      <c r="Q3" s="9">
        <f t="shared" ref="Q3:Q15" ca="1" si="8">$B$29*O3^2+$B$30</f>
        <v>7.535589230123052E-2</v>
      </c>
      <c r="R3" s="9">
        <f t="shared" ref="R3:R15" ca="1" si="9">0.5*Q3*$I$19*C3^2*N3</f>
        <v>2.0283318347957709E-2</v>
      </c>
      <c r="S3" s="9">
        <f t="shared" ref="S3:S15" ca="1" si="10">P3*COS(RADIANS(F3+G3))-R3*SIN(RADIANS(F3+G3))</f>
        <v>4.5378629814377194E-2</v>
      </c>
      <c r="T3" s="6">
        <f t="shared" ref="T3:T15" ca="1" si="11">R3*COS(RADIANS(F3+G3))+P3*SIN(RADIANS(F3+G3))</f>
        <v>0.20259551616726454</v>
      </c>
      <c r="U3" s="9">
        <f t="shared" ref="U3:U15" ca="1" si="12">T3*A3</f>
        <v>4.0519103233452912E-3</v>
      </c>
      <c r="V3" s="56">
        <f ca="1">P3/N3</f>
        <v>468.62875777277748</v>
      </c>
      <c r="W3" s="60">
        <f t="shared" ref="W3:W15" ca="1" si="13">24*$I$23*$I$24*$I$25/$I$26^3/(A3^2-4*$I$26*A3+6*$I$26^2)</f>
        <v>4319.5883707541716</v>
      </c>
      <c r="X3" s="18" t="str">
        <f ca="1">IF(V3&lt;W3,"Good","Change")</f>
        <v>Good</v>
      </c>
      <c r="Y3" s="9"/>
    </row>
    <row r="4" spans="1:25" x14ac:dyDescent="0.25">
      <c r="A4" s="18">
        <v>0.03</v>
      </c>
      <c r="B4" s="6">
        <f t="shared" si="0"/>
        <v>0.70685834705770334</v>
      </c>
      <c r="C4" s="6">
        <f t="shared" si="1"/>
        <v>1.224601454680317</v>
      </c>
      <c r="D4" s="7">
        <f t="shared" ca="1" si="2"/>
        <v>41269.230485860171</v>
      </c>
      <c r="E4" s="8">
        <f t="shared" si="3"/>
        <v>61.745100913330973</v>
      </c>
      <c r="F4" s="8">
        <f t="shared" si="4"/>
        <v>54.745100913343656</v>
      </c>
      <c r="G4" s="6">
        <f t="shared" ca="1" si="5"/>
        <v>7</v>
      </c>
      <c r="H4" s="6">
        <f t="shared" ref="H4:H15" si="14">E4-F4</f>
        <v>6.9999999999873168</v>
      </c>
      <c r="I4" s="8">
        <f t="shared" ref="I4:I15" ca="1" si="15">G4-H4</f>
        <v>1.2683187833317788E-11</v>
      </c>
      <c r="J4" s="13">
        <f t="shared" ref="J4:J15" ca="1" si="16">(G4-H4)/G4</f>
        <v>1.8118839761882555E-12</v>
      </c>
      <c r="K4" s="54">
        <v>0.35073536451620985</v>
      </c>
      <c r="L4" s="13">
        <f t="shared" ref="L4:L15" si="17">($B$26-K4)/$B$26</f>
        <v>2.5735098566083723E-2</v>
      </c>
      <c r="M4" s="17">
        <f t="shared" ref="M4:M15" ca="1" si="18">R21</f>
        <v>4.47744346697979E-2</v>
      </c>
      <c r="N4" s="7">
        <f t="shared" ref="N4:N15" ca="1" si="19">M4*($A$4-$A$3)</f>
        <v>4.4774434669797895E-4</v>
      </c>
      <c r="O4" s="9">
        <f t="shared" ca="1" si="6"/>
        <v>0.76763589786250563</v>
      </c>
      <c r="P4" s="6">
        <f t="shared" ca="1" si="7"/>
        <v>0.25748616109634687</v>
      </c>
      <c r="Q4" s="9">
        <f t="shared" ca="1" si="8"/>
        <v>7.535589230123052E-2</v>
      </c>
      <c r="R4" s="9">
        <f t="shared" ca="1" si="9"/>
        <v>2.5276435714720793E-2</v>
      </c>
      <c r="S4" s="9">
        <f t="shared" ca="1" si="10"/>
        <v>9.9627902610847419E-2</v>
      </c>
      <c r="T4" s="6">
        <f t="shared" ca="1" si="11"/>
        <v>0.23877249083581176</v>
      </c>
      <c r="U4" s="9">
        <f t="shared" ca="1" si="12"/>
        <v>7.1631747250743526E-3</v>
      </c>
      <c r="V4" s="56">
        <f t="shared" ref="V4:V15" ca="1" si="20">P4/N4</f>
        <v>575.07406401723108</v>
      </c>
      <c r="W4" s="60">
        <f t="shared" ca="1" si="13"/>
        <v>4574.3789056546229</v>
      </c>
      <c r="X4" s="18" t="str">
        <f t="shared" ref="X4:X15" ca="1" si="21">IF(V4&lt;W4,"Good","Change")</f>
        <v>Good</v>
      </c>
      <c r="Y4" s="9"/>
    </row>
    <row r="5" spans="1:25" x14ac:dyDescent="0.25">
      <c r="A5" s="18">
        <v>0.04</v>
      </c>
      <c r="B5" s="6">
        <f t="shared" si="0"/>
        <v>0.94247779607693793</v>
      </c>
      <c r="C5" s="6">
        <f t="shared" si="1"/>
        <v>1.3741413304671548</v>
      </c>
      <c r="D5" s="7">
        <f t="shared" ca="1" si="2"/>
        <v>46308.74401663983</v>
      </c>
      <c r="E5" s="8">
        <f t="shared" si="3"/>
        <v>53.696192692828291</v>
      </c>
      <c r="F5" s="8">
        <f t="shared" si="4"/>
        <v>46.696192692829335</v>
      </c>
      <c r="G5" s="6">
        <f t="shared" ca="1" si="5"/>
        <v>7</v>
      </c>
      <c r="H5" s="6">
        <f t="shared" si="14"/>
        <v>6.9999999999989555</v>
      </c>
      <c r="I5" s="8">
        <f t="shared" ca="1" si="15"/>
        <v>1.0444978215673473E-12</v>
      </c>
      <c r="J5" s="13">
        <f t="shared" ca="1" si="16"/>
        <v>1.4921397450962104E-13</v>
      </c>
      <c r="K5" s="54">
        <v>0.34209316519709015</v>
      </c>
      <c r="L5" s="13">
        <f t="shared" si="17"/>
        <v>4.974120778586065E-2</v>
      </c>
      <c r="M5" s="17">
        <f t="shared" ca="1" si="18"/>
        <v>4.4999999999999998E-2</v>
      </c>
      <c r="N5" s="7">
        <f t="shared" ca="1" si="19"/>
        <v>4.4999999999999993E-4</v>
      </c>
      <c r="O5" s="9">
        <f t="shared" ca="1" si="6"/>
        <v>0.76763589786250563</v>
      </c>
      <c r="P5" s="6">
        <f t="shared" ca="1" si="7"/>
        <v>0.32584387174175972</v>
      </c>
      <c r="Q5" s="9">
        <f t="shared" ca="1" si="8"/>
        <v>7.535589230123052E-2</v>
      </c>
      <c r="R5" s="9">
        <f t="shared" ca="1" si="9"/>
        <v>3.1986851806122832E-2</v>
      </c>
      <c r="S5" s="6">
        <f t="shared" ca="1" si="10"/>
        <v>0.16714346597623003</v>
      </c>
      <c r="T5" s="6">
        <f t="shared" ca="1" si="11"/>
        <v>0.28153232358217772</v>
      </c>
      <c r="U5" s="9">
        <f t="shared" ca="1" si="12"/>
        <v>1.1261292943287109E-2</v>
      </c>
      <c r="V5" s="56">
        <f t="shared" ca="1" si="20"/>
        <v>724.09749275946615</v>
      </c>
      <c r="W5" s="60">
        <f t="shared" ca="1" si="13"/>
        <v>4846.9799741602046</v>
      </c>
      <c r="X5" s="18" t="str">
        <f t="shared" ca="1" si="21"/>
        <v>Good</v>
      </c>
      <c r="Y5" s="9"/>
    </row>
    <row r="6" spans="1:25" x14ac:dyDescent="0.25">
      <c r="A6" s="18">
        <v>0.05</v>
      </c>
      <c r="B6" s="6">
        <f t="shared" si="0"/>
        <v>1.1780972450961724</v>
      </c>
      <c r="C6" s="6">
        <f t="shared" si="1"/>
        <v>1.5452873903915709</v>
      </c>
      <c r="D6" s="7">
        <f t="shared" ca="1" si="2"/>
        <v>52076.38880162123</v>
      </c>
      <c r="E6" s="8">
        <f t="shared" si="3"/>
        <v>47.325475103451296</v>
      </c>
      <c r="F6" s="8">
        <f t="shared" si="4"/>
        <v>40.325475095727015</v>
      </c>
      <c r="G6" s="6">
        <f t="shared" ca="1" si="5"/>
        <v>7</v>
      </c>
      <c r="H6" s="6">
        <f t="shared" si="14"/>
        <v>7.0000000077242817</v>
      </c>
      <c r="I6" s="8">
        <f t="shared" ca="1" si="15"/>
        <v>-7.7242816587386187E-9</v>
      </c>
      <c r="J6" s="13">
        <f t="shared" ca="1" si="16"/>
        <v>-1.1034688083912313E-9</v>
      </c>
      <c r="K6" s="54">
        <v>0.34075500554738358</v>
      </c>
      <c r="L6" s="13">
        <f t="shared" si="17"/>
        <v>5.3458317923934455E-2</v>
      </c>
      <c r="M6" s="17">
        <f t="shared" ca="1" si="18"/>
        <v>4.47744346697979E-2</v>
      </c>
      <c r="N6" s="7">
        <f t="shared" ca="1" si="19"/>
        <v>4.4774434669797895E-4</v>
      </c>
      <c r="O6" s="9">
        <f t="shared" ca="1" si="6"/>
        <v>0.76763589786250563</v>
      </c>
      <c r="P6" s="6">
        <f t="shared" ca="1" si="7"/>
        <v>0.40999907022751225</v>
      </c>
      <c r="Q6" s="9">
        <f t="shared" ca="1" si="8"/>
        <v>7.535589230123052E-2</v>
      </c>
      <c r="R6" s="9">
        <f t="shared" ca="1" si="9"/>
        <v>4.0248047108921083E-2</v>
      </c>
      <c r="S6" s="6">
        <f t="shared" ca="1" si="10"/>
        <v>0.24831982480744319</v>
      </c>
      <c r="T6" s="6">
        <f t="shared" ca="1" si="11"/>
        <v>0.32871934456479307</v>
      </c>
      <c r="U6" s="9">
        <f t="shared" ca="1" si="12"/>
        <v>1.6435967228239656E-2</v>
      </c>
      <c r="V6" s="56">
        <f t="shared" ca="1" si="20"/>
        <v>915.69904399948268</v>
      </c>
      <c r="W6" s="60">
        <f t="shared" ca="1" si="13"/>
        <v>5138.2468755350083</v>
      </c>
      <c r="X6" s="18" t="str">
        <f t="shared" ca="1" si="21"/>
        <v>Good</v>
      </c>
      <c r="Y6" s="9"/>
    </row>
    <row r="7" spans="1:25" x14ac:dyDescent="0.25">
      <c r="A7" s="18">
        <v>0.06</v>
      </c>
      <c r="B7" s="6">
        <f t="shared" si="0"/>
        <v>1.4137166941154067</v>
      </c>
      <c r="C7" s="6">
        <f t="shared" si="1"/>
        <v>1.7316451400967217</v>
      </c>
      <c r="D7" s="7">
        <f t="shared" ca="1" si="2"/>
        <v>58356.669537867623</v>
      </c>
      <c r="E7" s="8">
        <f t="shared" si="3"/>
        <v>42.273881394325251</v>
      </c>
      <c r="F7" s="8">
        <f t="shared" si="4"/>
        <v>35.273881390585245</v>
      </c>
      <c r="G7" s="6">
        <f t="shared" ca="1" si="5"/>
        <v>7</v>
      </c>
      <c r="H7" s="6">
        <f t="shared" si="14"/>
        <v>7.0000000037400056</v>
      </c>
      <c r="I7" s="8">
        <f t="shared" ca="1" si="15"/>
        <v>-3.7400056385195057E-9</v>
      </c>
      <c r="J7" s="13">
        <f t="shared" ca="1" si="16"/>
        <v>-5.342865197885008E-10</v>
      </c>
      <c r="K7" s="54">
        <v>0.34272151061276374</v>
      </c>
      <c r="L7" s="13">
        <f t="shared" si="17"/>
        <v>4.7995803853434035E-2</v>
      </c>
      <c r="M7" s="17">
        <f t="shared" ca="1" si="18"/>
        <v>4.4090815370097208E-2</v>
      </c>
      <c r="N7" s="7">
        <f t="shared" ca="1" si="19"/>
        <v>4.4090815370097204E-4</v>
      </c>
      <c r="O7" s="9">
        <f t="shared" ca="1" si="6"/>
        <v>0.76763589786250563</v>
      </c>
      <c r="P7" s="6">
        <f t="shared" ca="1" si="7"/>
        <v>0.50699090241758549</v>
      </c>
      <c r="Q7" s="9">
        <f t="shared" ca="1" si="8"/>
        <v>7.535589230123052E-2</v>
      </c>
      <c r="R7" s="9">
        <f t="shared" ca="1" si="9"/>
        <v>4.9769365849962166E-2</v>
      </c>
      <c r="S7" s="6">
        <f t="shared" ca="1" si="10"/>
        <v>0.34166311838768848</v>
      </c>
      <c r="T7" s="6">
        <f t="shared" ca="1" si="11"/>
        <v>0.37786648229884778</v>
      </c>
      <c r="U7" s="9">
        <f t="shared" ca="1" si="12"/>
        <v>2.2671988937930865E-2</v>
      </c>
      <c r="V7" s="56">
        <f t="shared" ca="1" si="20"/>
        <v>1149.8787177372803</v>
      </c>
      <c r="W7" s="60">
        <f t="shared" ca="1" si="13"/>
        <v>5448.8925199709483</v>
      </c>
      <c r="X7" s="18" t="str">
        <f t="shared" ca="1" si="21"/>
        <v>Good</v>
      </c>
      <c r="Y7" s="9"/>
    </row>
    <row r="8" spans="1:25" x14ac:dyDescent="0.25">
      <c r="A8" s="18">
        <v>7.0000000000000007E-2</v>
      </c>
      <c r="B8" s="6">
        <f t="shared" si="0"/>
        <v>1.6493361431346414</v>
      </c>
      <c r="C8" s="6">
        <f t="shared" si="1"/>
        <v>1.928810439895599</v>
      </c>
      <c r="D8" s="7">
        <f t="shared" ca="1" si="2"/>
        <v>65001.166137243068</v>
      </c>
      <c r="E8" s="8">
        <f t="shared" si="3"/>
        <v>38.228623691130906</v>
      </c>
      <c r="F8" s="8">
        <f t="shared" si="4"/>
        <v>31.228623688943681</v>
      </c>
      <c r="G8" s="6">
        <f t="shared" ca="1" si="5"/>
        <v>7</v>
      </c>
      <c r="H8" s="6">
        <f t="shared" si="14"/>
        <v>7.0000000021872246</v>
      </c>
      <c r="I8" s="8">
        <f t="shared" ca="1" si="15"/>
        <v>-2.1872246236398496E-9</v>
      </c>
      <c r="J8" s="13">
        <f t="shared" ca="1" si="16"/>
        <v>-3.1246066051997852E-10</v>
      </c>
      <c r="K8" s="54">
        <v>0.34646248009999658</v>
      </c>
      <c r="L8" s="13">
        <f t="shared" si="17"/>
        <v>3.7604221944453897E-2</v>
      </c>
      <c r="M8" s="17">
        <f t="shared" ca="1" si="18"/>
        <v>4.2927264063762557E-2</v>
      </c>
      <c r="N8" s="7">
        <f t="shared" ca="1" si="19"/>
        <v>4.2927264063762549E-4</v>
      </c>
      <c r="O8" s="9">
        <f t="shared" ca="1" si="6"/>
        <v>0.76763589786250563</v>
      </c>
      <c r="P8" s="6">
        <f t="shared" ca="1" si="7"/>
        <v>0.61241602358318614</v>
      </c>
      <c r="Q8" s="9">
        <f t="shared" ca="1" si="8"/>
        <v>7.535589230123052E-2</v>
      </c>
      <c r="R8" s="9">
        <f t="shared" ca="1" si="9"/>
        <v>6.0118548448796459E-2</v>
      </c>
      <c r="S8" s="6">
        <f t="shared" ca="1" si="10"/>
        <v>0.44388067916623031</v>
      </c>
      <c r="T8" s="6">
        <f t="shared" ca="1" si="11"/>
        <v>0.42618959216756808</v>
      </c>
      <c r="U8" s="9">
        <f t="shared" ca="1" si="12"/>
        <v>2.983327145172977E-2</v>
      </c>
      <c r="V8" s="56">
        <f t="shared" ca="1" si="20"/>
        <v>1426.6365139728596</v>
      </c>
      <c r="W8" s="60">
        <f t="shared" ca="1" si="13"/>
        <v>5779.4145965723055</v>
      </c>
      <c r="X8" s="18" t="str">
        <f t="shared" ca="1" si="21"/>
        <v>Good</v>
      </c>
      <c r="Y8" s="9"/>
    </row>
    <row r="9" spans="1:25" x14ac:dyDescent="0.25">
      <c r="A9" s="18">
        <v>0.08</v>
      </c>
      <c r="B9" s="6">
        <f t="shared" si="0"/>
        <v>1.8849555921538759</v>
      </c>
      <c r="C9" s="6">
        <f t="shared" si="1"/>
        <v>2.1337894892402507</v>
      </c>
      <c r="D9" s="7">
        <f t="shared" ca="1" si="2"/>
        <v>71908.987126550361</v>
      </c>
      <c r="E9" s="8">
        <f t="shared" si="3"/>
        <v>34.94668724691185</v>
      </c>
      <c r="F9" s="8">
        <f t="shared" si="4"/>
        <v>27.94668724547887</v>
      </c>
      <c r="G9" s="6">
        <f t="shared" ca="1" si="5"/>
        <v>7</v>
      </c>
      <c r="H9" s="6">
        <f t="shared" si="14"/>
        <v>7.00000000143298</v>
      </c>
      <c r="I9" s="8">
        <f t="shared" ca="1" si="15"/>
        <v>-1.4329799569168244E-9</v>
      </c>
      <c r="J9" s="13">
        <f t="shared" ca="1" si="16"/>
        <v>-2.047114224166892E-10</v>
      </c>
      <c r="K9" s="54">
        <v>0.35126612441502647</v>
      </c>
      <c r="L9" s="13">
        <f t="shared" si="17"/>
        <v>2.4260765513815324E-2</v>
      </c>
      <c r="M9" s="17">
        <f ca="1">R26</f>
        <v>4.1243181254602565E-2</v>
      </c>
      <c r="N9" s="7">
        <f t="shared" ca="1" si="19"/>
        <v>4.1243181254602558E-4</v>
      </c>
      <c r="O9" s="9">
        <f t="shared" ca="1" si="6"/>
        <v>0.76763589786250563</v>
      </c>
      <c r="P9" s="6">
        <f t="shared" ca="1" si="7"/>
        <v>0.72009457507642038</v>
      </c>
      <c r="Q9" s="9">
        <f t="shared" ca="1" si="8"/>
        <v>7.535589230123052E-2</v>
      </c>
      <c r="R9" s="9">
        <f t="shared" ca="1" si="9"/>
        <v>7.068894171996945E-2</v>
      </c>
      <c r="S9" s="6">
        <f t="shared" ca="1" si="10"/>
        <v>0.54975939049050282</v>
      </c>
      <c r="T9" s="6">
        <f t="shared" ca="1" si="11"/>
        <v>0.47042293322444484</v>
      </c>
      <c r="U9" s="9">
        <f t="shared" ca="1" si="12"/>
        <v>3.7633834657955591E-2</v>
      </c>
      <c r="V9" s="56">
        <f t="shared" ca="1" si="20"/>
        <v>1745.9724327062211</v>
      </c>
      <c r="W9" s="60">
        <f t="shared" ca="1" si="13"/>
        <v>6130.004084967316</v>
      </c>
      <c r="X9" s="18" t="str">
        <f t="shared" ca="1" si="21"/>
        <v>Good</v>
      </c>
      <c r="Y9" s="9"/>
    </row>
    <row r="10" spans="1:25" x14ac:dyDescent="0.25">
      <c r="A10" s="18">
        <v>0.09</v>
      </c>
      <c r="B10" s="6">
        <f t="shared" si="0"/>
        <v>2.1205750411731099</v>
      </c>
      <c r="C10" s="6">
        <f t="shared" si="1"/>
        <v>2.3445337500761929</v>
      </c>
      <c r="D10" s="7">
        <f t="shared" ca="1" si="2"/>
        <v>79011.096503254594</v>
      </c>
      <c r="E10" s="8">
        <f t="shared" si="3"/>
        <v>32.247168178010746</v>
      </c>
      <c r="F10" s="8">
        <f t="shared" si="4"/>
        <v>25.247168176997498</v>
      </c>
      <c r="G10" s="6">
        <f t="shared" ca="1" si="5"/>
        <v>7</v>
      </c>
      <c r="H10" s="6">
        <f t="shared" si="14"/>
        <v>7.0000000010132482</v>
      </c>
      <c r="I10" s="8">
        <f t="shared" ca="1" si="15"/>
        <v>-1.0132481520486181E-9</v>
      </c>
      <c r="J10" s="13">
        <f t="shared" ca="1" si="16"/>
        <v>-1.4474973600694544E-10</v>
      </c>
      <c r="K10" s="54">
        <v>0.35675644788460564</v>
      </c>
      <c r="L10" s="13">
        <f t="shared" si="17"/>
        <v>9.009866987206511E-3</v>
      </c>
      <c r="M10" s="17">
        <f t="shared" ca="1" si="18"/>
        <v>3.8971143170299739E-2</v>
      </c>
      <c r="N10" s="7">
        <f t="shared" ca="1" si="19"/>
        <v>3.8971143170299735E-4</v>
      </c>
      <c r="O10" s="9">
        <f t="shared" ca="1" si="6"/>
        <v>0.76763589786250563</v>
      </c>
      <c r="P10" s="31">
        <f t="shared" ca="1" si="7"/>
        <v>0.82146745562551182</v>
      </c>
      <c r="Q10" s="9">
        <f t="shared" ca="1" si="8"/>
        <v>7.535589230123052E-2</v>
      </c>
      <c r="R10" s="40">
        <f t="shared" ca="1" si="9"/>
        <v>8.0640331291762388E-2</v>
      </c>
      <c r="S10" s="31">
        <f t="shared" ca="1" si="10"/>
        <v>0.65173206559271324</v>
      </c>
      <c r="T10" s="6">
        <f t="shared" ca="1" si="11"/>
        <v>0.50651451939796632</v>
      </c>
      <c r="U10" s="9">
        <f t="shared" ca="1" si="12"/>
        <v>4.5586306745816971E-2</v>
      </c>
      <c r="V10" s="56">
        <f t="shared" ca="1" si="20"/>
        <v>2107.8864739373612</v>
      </c>
      <c r="W10" s="60">
        <f t="shared" ca="1" si="13"/>
        <v>6500.4331817197281</v>
      </c>
      <c r="X10" s="18" t="str">
        <f t="shared" ca="1" si="21"/>
        <v>Good</v>
      </c>
      <c r="Y10" s="9"/>
    </row>
    <row r="11" spans="1:25" x14ac:dyDescent="0.25">
      <c r="A11" s="18">
        <v>0.1</v>
      </c>
      <c r="B11" s="6">
        <f t="shared" si="0"/>
        <v>2.3561944901923448</v>
      </c>
      <c r="C11" s="6">
        <f t="shared" si="1"/>
        <v>2.5596195958799743</v>
      </c>
      <c r="D11" s="7">
        <f t="shared" ca="1" si="2"/>
        <v>86259.51786581098</v>
      </c>
      <c r="E11" s="8">
        <f t="shared" si="3"/>
        <v>29.997007672546552</v>
      </c>
      <c r="F11" s="8">
        <f t="shared" si="4"/>
        <v>22.997007671790534</v>
      </c>
      <c r="G11" s="6">
        <f t="shared" ca="1" si="5"/>
        <v>7</v>
      </c>
      <c r="H11" s="6">
        <f t="shared" si="14"/>
        <v>7.0000000007560175</v>
      </c>
      <c r="I11" s="8">
        <f t="shared" ca="1" si="15"/>
        <v>-7.560174708487466E-10</v>
      </c>
      <c r="J11" s="13">
        <f t="shared" ca="1" si="16"/>
        <v>-1.0800249583553523E-10</v>
      </c>
      <c r="K11" s="54">
        <v>0.36271612144276039</v>
      </c>
      <c r="L11" s="13">
        <f t="shared" si="17"/>
        <v>-7.5447817854455554E-3</v>
      </c>
      <c r="M11" s="17">
        <f t="shared" ca="1" si="18"/>
        <v>3.6000000000000004E-2</v>
      </c>
      <c r="N11" s="7">
        <f t="shared" ca="1" si="19"/>
        <v>3.5999999999999997E-4</v>
      </c>
      <c r="O11" s="9">
        <f t="shared" ca="1" si="6"/>
        <v>0.76763589786250563</v>
      </c>
      <c r="P11" s="31">
        <f t="shared" ca="1" si="7"/>
        <v>0.90445630955986278</v>
      </c>
      <c r="Q11" s="9">
        <f t="shared" ca="1" si="8"/>
        <v>7.535589230123052E-2</v>
      </c>
      <c r="R11" s="40">
        <f t="shared" ca="1" si="9"/>
        <v>8.8787030992353536E-2</v>
      </c>
      <c r="S11" s="31">
        <f t="shared" ca="1" si="10"/>
        <v>0.73891625799730842</v>
      </c>
      <c r="T11" s="6">
        <f t="shared" ca="1" si="11"/>
        <v>0.5290813892420887</v>
      </c>
      <c r="U11" s="9">
        <f t="shared" ca="1" si="12"/>
        <v>5.290813892420887E-2</v>
      </c>
      <c r="V11" s="56">
        <f t="shared" ca="1" si="20"/>
        <v>2512.3786376662856</v>
      </c>
      <c r="W11" s="60">
        <f t="shared" ca="1" si="13"/>
        <v>6889.9219467401244</v>
      </c>
      <c r="X11" s="18" t="str">
        <f t="shared" ca="1" si="21"/>
        <v>Good</v>
      </c>
      <c r="Y11" s="33" t="s">
        <v>85</v>
      </c>
    </row>
    <row r="12" spans="1:25" x14ac:dyDescent="0.25">
      <c r="A12" s="18">
        <v>0.11</v>
      </c>
      <c r="B12" s="6">
        <f t="shared" si="0"/>
        <v>2.5918139392115793</v>
      </c>
      <c r="C12" s="6">
        <f t="shared" si="1"/>
        <v>2.7780387858148137</v>
      </c>
      <c r="D12" s="7">
        <f t="shared" ca="1" si="2"/>
        <v>93620.273365083907</v>
      </c>
      <c r="E12" s="8">
        <f t="shared" si="3"/>
        <v>28.098118825081606</v>
      </c>
      <c r="F12" s="8">
        <f t="shared" si="4"/>
        <v>21.098118824494733</v>
      </c>
      <c r="G12" s="6">
        <f t="shared" ca="1" si="5"/>
        <v>7</v>
      </c>
      <c r="H12" s="6">
        <f t="shared" si="14"/>
        <v>7.0000000005868728</v>
      </c>
      <c r="I12" s="8">
        <f t="shared" ca="1" si="15"/>
        <v>-5.8687277260105475E-10</v>
      </c>
      <c r="J12" s="13">
        <f t="shared" ca="1" si="16"/>
        <v>-8.3838967514436389E-11</v>
      </c>
      <c r="K12" s="54">
        <v>0.36901077486631878</v>
      </c>
      <c r="L12" s="13">
        <f t="shared" si="17"/>
        <v>-2.5029930184218872E-2</v>
      </c>
      <c r="M12" s="17">
        <f t="shared" ca="1" si="18"/>
        <v>3.2136427928442832E-2</v>
      </c>
      <c r="N12" s="7">
        <f t="shared" ca="1" si="19"/>
        <v>3.2136427928442825E-4</v>
      </c>
      <c r="O12" s="9">
        <f t="shared" ca="1" si="6"/>
        <v>0.76763589786250563</v>
      </c>
      <c r="P12" s="31">
        <f t="shared" ca="1" si="7"/>
        <v>0.95106117050594774</v>
      </c>
      <c r="Q12" s="9">
        <f t="shared" ca="1" si="8"/>
        <v>7.535589230123052E-2</v>
      </c>
      <c r="R12" s="40">
        <f t="shared" ca="1" si="9"/>
        <v>9.3362052681602442E-2</v>
      </c>
      <c r="S12" s="31">
        <f t="shared" ca="1" si="10"/>
        <v>0.79499938501751588</v>
      </c>
      <c r="T12" s="6">
        <f t="shared" ca="1" si="11"/>
        <v>0.53029218431619107</v>
      </c>
      <c r="U12" s="9">
        <f t="shared" ca="1" si="12"/>
        <v>5.8332140274781015E-2</v>
      </c>
      <c r="V12" s="56">
        <f t="shared" ca="1" si="20"/>
        <v>2959.4489238929909</v>
      </c>
      <c r="W12" s="60">
        <f t="shared" ca="1" si="13"/>
        <v>7296.9851689764118</v>
      </c>
      <c r="X12" s="18" t="str">
        <f t="shared" ca="1" si="21"/>
        <v>Good</v>
      </c>
      <c r="Y12" s="33" t="s">
        <v>86</v>
      </c>
    </row>
    <row r="13" spans="1:25" x14ac:dyDescent="0.25">
      <c r="A13" s="18">
        <v>0.12</v>
      </c>
      <c r="B13" s="6">
        <f t="shared" si="0"/>
        <v>2.8274333882308134</v>
      </c>
      <c r="C13" s="6">
        <f t="shared" si="1"/>
        <v>2.9990631145213298</v>
      </c>
      <c r="D13" s="7">
        <f t="shared" ca="1" si="2"/>
        <v>101068.82238444866</v>
      </c>
      <c r="E13" s="8">
        <f t="shared" si="3"/>
        <v>25.977548942986637</v>
      </c>
      <c r="F13" s="8">
        <f t="shared" si="4"/>
        <v>19.477548933942966</v>
      </c>
      <c r="G13" s="6">
        <f t="shared" ca="1" si="5"/>
        <v>6.5</v>
      </c>
      <c r="H13" s="6">
        <f t="shared" si="14"/>
        <v>6.5000000090436707</v>
      </c>
      <c r="I13" s="8">
        <f t="shared" ca="1" si="15"/>
        <v>-9.0436707012031547E-9</v>
      </c>
      <c r="J13" s="13">
        <f t="shared" ca="1" si="16"/>
        <v>-1.3913339540312546E-9</v>
      </c>
      <c r="K13" s="54">
        <v>0.36737605276842022</v>
      </c>
      <c r="L13" s="13">
        <f t="shared" si="17"/>
        <v>-2.0489035467833996E-2</v>
      </c>
      <c r="M13" s="17">
        <f t="shared" ca="1" si="18"/>
        <v>2.7000000000000003E-2</v>
      </c>
      <c r="N13" s="7">
        <f t="shared" ca="1" si="19"/>
        <v>2.7E-4</v>
      </c>
      <c r="O13" s="9">
        <f t="shared" ca="1" si="6"/>
        <v>0.71280476230089806</v>
      </c>
      <c r="P13" s="31">
        <f t="shared" ca="1" si="7"/>
        <v>0.86473797410623887</v>
      </c>
      <c r="Q13" s="9">
        <f t="shared" ca="1" si="8"/>
        <v>7.0485437749530394E-2</v>
      </c>
      <c r="R13" s="40">
        <f t="shared" ca="1" si="9"/>
        <v>8.5509297730801001E-2</v>
      </c>
      <c r="S13" s="31">
        <f t="shared" ca="1" si="10"/>
        <v>0.73991513149290855</v>
      </c>
      <c r="T13" s="6">
        <f t="shared" ca="1" si="11"/>
        <v>0.45564152801035246</v>
      </c>
      <c r="U13" s="9">
        <f t="shared" ca="1" si="12"/>
        <v>5.4676983361242291E-2</v>
      </c>
      <c r="V13" s="56">
        <f t="shared" ca="1" si="20"/>
        <v>3202.7332374305142</v>
      </c>
      <c r="W13" s="60">
        <f t="shared" ca="1" si="13"/>
        <v>7719.2644032921753</v>
      </c>
      <c r="X13" s="18" t="str">
        <f t="shared" ca="1" si="21"/>
        <v>Good</v>
      </c>
      <c r="Y13" s="33" t="s">
        <v>87</v>
      </c>
    </row>
    <row r="14" spans="1:25" x14ac:dyDescent="0.25">
      <c r="A14" s="18">
        <v>0.13</v>
      </c>
      <c r="B14" s="6">
        <f t="shared" si="0"/>
        <v>3.0630528372500483</v>
      </c>
      <c r="C14" s="6">
        <f t="shared" si="1"/>
        <v>3.2221565268908909</v>
      </c>
      <c r="D14" s="7">
        <f t="shared" ca="1" si="2"/>
        <v>108587.09979606576</v>
      </c>
      <c r="E14" s="8">
        <f t="shared" si="3"/>
        <v>24.580394010025493</v>
      </c>
      <c r="F14" s="8">
        <f t="shared" si="4"/>
        <v>18.080393994569338</v>
      </c>
      <c r="G14" s="6">
        <f t="shared" ca="1" si="5"/>
        <v>6.5</v>
      </c>
      <c r="H14" s="6">
        <f t="shared" si="14"/>
        <v>6.5000000154561555</v>
      </c>
      <c r="I14" s="8">
        <f t="shared" ca="1" si="15"/>
        <v>-1.5456155466608834E-8</v>
      </c>
      <c r="J14" s="13">
        <f t="shared" ca="1" si="16"/>
        <v>-2.3778700717859746E-9</v>
      </c>
      <c r="K14" s="54">
        <v>0.37362864826831244</v>
      </c>
      <c r="L14" s="13">
        <f t="shared" si="17"/>
        <v>-3.7857356300867916E-2</v>
      </c>
      <c r="M14" s="17">
        <f t="shared" ca="1" si="18"/>
        <v>1.9615045245933032E-2</v>
      </c>
      <c r="N14" s="7">
        <f t="shared" ca="1" si="19"/>
        <v>1.9615045245933028E-4</v>
      </c>
      <c r="O14" s="9">
        <f t="shared" ca="1" si="6"/>
        <v>0.71280476230089806</v>
      </c>
      <c r="P14" s="31">
        <f t="shared" ca="1" si="7"/>
        <v>0.72515715747363085</v>
      </c>
      <c r="Q14" s="9">
        <f t="shared" ca="1" si="8"/>
        <v>7.0485437749530394E-2</v>
      </c>
      <c r="R14" s="40">
        <f t="shared" ca="1" si="9"/>
        <v>7.1706899820287051E-2</v>
      </c>
      <c r="S14" s="31">
        <f t="shared" ca="1" si="10"/>
        <v>0.62961443697223174</v>
      </c>
      <c r="T14" s="6">
        <f t="shared" ca="1" si="11"/>
        <v>0.36685207273942522</v>
      </c>
      <c r="U14" s="9">
        <f t="shared" ca="1" si="12"/>
        <v>4.7690769456125277E-2</v>
      </c>
      <c r="V14" s="56">
        <f t="shared" ca="1" si="20"/>
        <v>3696.9435878511904</v>
      </c>
      <c r="W14" s="60">
        <f t="shared" ca="1" si="13"/>
        <v>8153.3550665579942</v>
      </c>
      <c r="X14" s="18" t="str">
        <f t="shared" ca="1" si="21"/>
        <v>Good</v>
      </c>
      <c r="Y14" s="33" t="s">
        <v>88</v>
      </c>
    </row>
    <row r="15" spans="1:25" x14ac:dyDescent="0.25">
      <c r="A15" s="18">
        <v>0.14000000000000001</v>
      </c>
      <c r="B15" s="6">
        <f t="shared" si="0"/>
        <v>3.2986722862692828</v>
      </c>
      <c r="C15" s="6">
        <f t="shared" si="1"/>
        <v>3.4469172969772597</v>
      </c>
      <c r="D15" s="7">
        <f t="shared" ca="1" si="2"/>
        <v>116161.56738257963</v>
      </c>
      <c r="E15" s="8">
        <f t="shared" si="3"/>
        <v>23.364799162628781</v>
      </c>
      <c r="F15" s="8">
        <f t="shared" si="4"/>
        <v>16.864799140808408</v>
      </c>
      <c r="G15" s="6">
        <f t="shared" ca="1" si="5"/>
        <v>6.5</v>
      </c>
      <c r="H15" s="6">
        <f t="shared" si="14"/>
        <v>6.5000000218203731</v>
      </c>
      <c r="I15" s="8">
        <f t="shared" ca="1" si="15"/>
        <v>-2.182037306397433E-8</v>
      </c>
      <c r="J15" s="13">
        <f t="shared" ca="1" si="16"/>
        <v>-3.3569804713806661E-9</v>
      </c>
      <c r="K15" s="54">
        <v>0.38001533084270156</v>
      </c>
      <c r="L15" s="13">
        <f t="shared" si="17"/>
        <v>-5.5598141229726596E-2</v>
      </c>
      <c r="M15" s="17">
        <f t="shared" ca="1" si="18"/>
        <v>0</v>
      </c>
      <c r="N15" s="7">
        <f t="shared" ca="1" si="19"/>
        <v>0</v>
      </c>
      <c r="O15" s="9">
        <f t="shared" ca="1" si="6"/>
        <v>0.71280476230089806</v>
      </c>
      <c r="P15" s="44">
        <f t="shared" ca="1" si="7"/>
        <v>0</v>
      </c>
      <c r="Q15" s="45">
        <f t="shared" ca="1" si="8"/>
        <v>7.0485437749530394E-2</v>
      </c>
      <c r="R15" s="44">
        <f t="shared" ca="1" si="9"/>
        <v>0</v>
      </c>
      <c r="S15" s="44">
        <f t="shared" ca="1" si="10"/>
        <v>0</v>
      </c>
      <c r="T15" s="6">
        <f t="shared" ca="1" si="11"/>
        <v>0</v>
      </c>
      <c r="U15" s="9">
        <f t="shared" ca="1" si="12"/>
        <v>0</v>
      </c>
      <c r="V15" s="56" t="e">
        <f t="shared" ca="1" si="20"/>
        <v>#DIV/0!</v>
      </c>
      <c r="W15" s="60">
        <f t="shared" ca="1" si="13"/>
        <v>8594.6449026345872</v>
      </c>
      <c r="X15" s="18" t="e">
        <f t="shared" ca="1" si="21"/>
        <v>#DIV/0!</v>
      </c>
      <c r="Y15" s="9"/>
    </row>
    <row r="16" spans="1:25" x14ac:dyDescent="0.25">
      <c r="B16" s="6"/>
      <c r="C16" s="6"/>
      <c r="D16" s="7"/>
      <c r="E16" s="8"/>
      <c r="F16" s="8"/>
      <c r="G16" s="8"/>
      <c r="H16" s="8"/>
      <c r="I16" s="8"/>
      <c r="J16" s="8"/>
      <c r="N16" s="11">
        <f ca="1">SUM(N3:N15)</f>
        <v>4.6062356174283092E-3</v>
      </c>
      <c r="P16" s="12">
        <f ca="1">SUM(P3:P15)</f>
        <v>7.3063329117747786</v>
      </c>
      <c r="R16" s="12">
        <f ca="1">SUM(R3:R15)</f>
        <v>0.71837712151325683</v>
      </c>
      <c r="S16" s="12">
        <f ca="1">SUM(S3:S15)</f>
        <v>5.4509502883259975</v>
      </c>
      <c r="T16" s="12">
        <f ca="1">SUM(T3:T15)</f>
        <v>4.7144803765469314</v>
      </c>
      <c r="U16" s="12">
        <f ca="1">SUM(U3:U15)</f>
        <v>0.388245779029737</v>
      </c>
      <c r="X16" s="6"/>
    </row>
    <row r="17" spans="1:24" x14ac:dyDescent="0.25">
      <c r="B17" s="6"/>
      <c r="C17" s="6"/>
      <c r="D17" s="7"/>
      <c r="E17" s="8"/>
      <c r="F17" s="8"/>
      <c r="G17" s="8"/>
      <c r="H17" s="8"/>
      <c r="K17" s="11"/>
      <c r="M17" s="12"/>
      <c r="N17" s="6"/>
      <c r="O17" s="12"/>
      <c r="P17" s="12"/>
      <c r="Q17" s="9"/>
      <c r="R17" s="12"/>
      <c r="S17" s="12"/>
    </row>
    <row r="18" spans="1:24" x14ac:dyDescent="0.25">
      <c r="A18" s="84" t="s">
        <v>1</v>
      </c>
      <c r="B18" s="84"/>
      <c r="C18" s="84"/>
      <c r="D18" s="7"/>
      <c r="E18" s="82" t="s">
        <v>148</v>
      </c>
      <c r="F18" s="83"/>
      <c r="G18" s="8"/>
      <c r="H18" s="25" t="s">
        <v>26</v>
      </c>
      <c r="I18" s="25" t="s">
        <v>53</v>
      </c>
      <c r="J18" s="25" t="s">
        <v>27</v>
      </c>
      <c r="K18" s="25" t="s">
        <v>28</v>
      </c>
      <c r="L18" s="25" t="s">
        <v>29</v>
      </c>
      <c r="M18" s="26" t="s">
        <v>31</v>
      </c>
      <c r="O18" s="85" t="s">
        <v>77</v>
      </c>
      <c r="P18" s="85"/>
      <c r="Q18" s="85"/>
      <c r="R18" s="50" t="s">
        <v>10</v>
      </c>
      <c r="S18" s="9"/>
      <c r="T18" s="32" t="s">
        <v>82</v>
      </c>
      <c r="U18" s="48" t="s">
        <v>107</v>
      </c>
      <c r="V18" s="6"/>
      <c r="W18" s="9"/>
      <c r="X18" s="8"/>
    </row>
    <row r="19" spans="1:24" x14ac:dyDescent="0.25">
      <c r="A19" s="20" t="s">
        <v>8</v>
      </c>
      <c r="B19" s="20">
        <f ca="1">0.01*VLOOKUP(LEFT($O$39,SEARCH("-",$O$39)-1),'Summary+ellip'!$A$2:$C$6,3,0)</f>
        <v>0.14000000000000001</v>
      </c>
      <c r="C19" s="20" t="s">
        <v>9</v>
      </c>
      <c r="D19" s="7"/>
      <c r="E19" s="10" t="s">
        <v>31</v>
      </c>
      <c r="F19" s="10" t="s">
        <v>32</v>
      </c>
      <c r="G19" s="8"/>
      <c r="H19" s="10">
        <v>0.5</v>
      </c>
      <c r="I19" s="10">
        <v>999.1</v>
      </c>
      <c r="J19" s="23">
        <v>1.1379999999999999E-3</v>
      </c>
      <c r="K19" s="23">
        <f>J19/I19</f>
        <v>1.1390251226103492E-6</v>
      </c>
      <c r="L19" s="34">
        <f ca="1">B25</f>
        <v>3.8385296811902586E-2</v>
      </c>
      <c r="M19" s="14">
        <f ca="1">H19*L19/K19</f>
        <v>16850.065924767961</v>
      </c>
      <c r="O19" s="10" t="s">
        <v>65</v>
      </c>
      <c r="P19" s="20" t="s">
        <v>64</v>
      </c>
      <c r="Q19" s="20" t="s">
        <v>66</v>
      </c>
      <c r="R19" s="20" t="s">
        <v>78</v>
      </c>
      <c r="T19" s="35">
        <f ca="1">S16*B20</f>
        <v>5.4509502883259975</v>
      </c>
      <c r="U19" s="49">
        <f ca="1">B28</f>
        <v>0.99680240739819292</v>
      </c>
    </row>
    <row r="20" spans="1:24" x14ac:dyDescent="0.25">
      <c r="A20" s="20" t="s">
        <v>13</v>
      </c>
      <c r="B20" s="20">
        <v>1</v>
      </c>
      <c r="C20" s="20" t="s">
        <v>14</v>
      </c>
      <c r="E20" s="14">
        <v>25000</v>
      </c>
      <c r="F20" s="63">
        <f ca="1">IF(RIGHT($A$1,4)*1=2411,VLOOKUP(E20,AofAs!B5:$D$10,3,0),VLOOKUP(E20,AofAs!$B$13:$D$18,3,0))</f>
        <v>7</v>
      </c>
      <c r="H20" s="10">
        <v>3</v>
      </c>
      <c r="I20" s="10">
        <v>999.1</v>
      </c>
      <c r="J20" s="23">
        <v>1.1379999999999999E-3</v>
      </c>
      <c r="K20" s="23">
        <f>J20/I20</f>
        <v>1.1390251226103492E-6</v>
      </c>
      <c r="L20" s="34">
        <f ca="1">L19</f>
        <v>3.8385296811902586E-2</v>
      </c>
      <c r="M20" s="14">
        <f ca="1">H20*L20/K20</f>
        <v>101100.39554860776</v>
      </c>
      <c r="O20" s="20">
        <v>2</v>
      </c>
      <c r="P20" s="21">
        <f ca="1">SQRT(($P$37-(O20*2-$P$38)^2)/$P$35)</f>
        <v>2.4494897427831779</v>
      </c>
      <c r="Q20" s="21">
        <f ca="1">-SQRT(($P$37-(O20*2-$P$38)^2)/$P$36)</f>
        <v>-1.9595917942265424</v>
      </c>
      <c r="R20" s="34">
        <f ca="1">(P20-Q20)*0.01</f>
        <v>4.4090815370097208E-2</v>
      </c>
      <c r="T20" s="32" t="s">
        <v>83</v>
      </c>
      <c r="U20" s="48" t="s">
        <v>108</v>
      </c>
      <c r="V20" s="13"/>
    </row>
    <row r="21" spans="1:24" x14ac:dyDescent="0.25">
      <c r="A21" s="20" t="s">
        <v>15</v>
      </c>
      <c r="B21" s="20">
        <v>3.75</v>
      </c>
      <c r="C21" s="20" t="s">
        <v>16</v>
      </c>
      <c r="E21" s="14">
        <v>50000</v>
      </c>
      <c r="F21" s="63">
        <f ca="1">IF(RIGHT($A$1,4)*1=2411,VLOOKUP(E21,AofAs!B6:$D$10,3,0),VLOOKUP(E21,AofAs!$B$13:$D$18,3,0))</f>
        <v>7</v>
      </c>
      <c r="H21" s="8"/>
      <c r="O21" s="10">
        <v>3</v>
      </c>
      <c r="P21" s="21">
        <f t="shared" ref="P21:P32" ca="1" si="22">SQRT(($P$37-(O21*2-$P$38)^2)/$P$35)</f>
        <v>2.4874685927665499</v>
      </c>
      <c r="Q21" s="21">
        <f t="shared" ref="Q21:Q32" ca="1" si="23">-SQRT(($P$37-(O21*2-$P$38)^2)/$P$36)</f>
        <v>-1.9899748742132399</v>
      </c>
      <c r="R21" s="34">
        <f t="shared" ref="R21:R32" ca="1" si="24">(P21-Q21)*0.01</f>
        <v>4.47744346697979E-2</v>
      </c>
      <c r="T21" s="35">
        <f ca="1">U16*B22</f>
        <v>9.1478256539030092</v>
      </c>
      <c r="U21" s="49">
        <f>B27</f>
        <v>0.35884886666334948</v>
      </c>
    </row>
    <row r="22" spans="1:24" x14ac:dyDescent="0.25">
      <c r="A22" s="20" t="s">
        <v>17</v>
      </c>
      <c r="B22" s="21">
        <f>2*PI()*B21</f>
        <v>23.561944901923447</v>
      </c>
      <c r="C22" s="20" t="s">
        <v>18</v>
      </c>
      <c r="E22" s="14">
        <v>100000</v>
      </c>
      <c r="F22" s="63">
        <f ca="1">IF(RIGHT($A$1,4)*1=2411,VLOOKUP(E22,AofAs!B7:$D$10,3,0),VLOOKUP(E22,AofAs!$B$13:$D$18,3,0))</f>
        <v>6.5</v>
      </c>
      <c r="H22" s="8"/>
      <c r="O22" s="10">
        <v>4</v>
      </c>
      <c r="P22" s="21">
        <f t="shared" ca="1" si="22"/>
        <v>2.5</v>
      </c>
      <c r="Q22" s="21">
        <f t="shared" ca="1" si="23"/>
        <v>-2</v>
      </c>
      <c r="R22" s="34">
        <f t="shared" ca="1" si="24"/>
        <v>4.4999999999999998E-2</v>
      </c>
      <c r="T22" s="32" t="s">
        <v>84</v>
      </c>
    </row>
    <row r="23" spans="1:24" x14ac:dyDescent="0.25">
      <c r="A23" s="20" t="s">
        <v>19</v>
      </c>
      <c r="B23" s="21">
        <v>0.04</v>
      </c>
      <c r="C23" s="20" t="s">
        <v>9</v>
      </c>
      <c r="D23" s="7"/>
      <c r="E23" s="14">
        <v>200000</v>
      </c>
      <c r="F23" s="63">
        <f ca="1">IF(RIGHT($A$1,4)*1=2411,VLOOKUP(E23,AofAs!B8:$D$10,3,0),VLOOKUP(E23,AofAs!$B$13:$D$18,3,0))</f>
        <v>5.5</v>
      </c>
      <c r="G23" s="8"/>
      <c r="H23" s="55" t="s">
        <v>125</v>
      </c>
      <c r="I23" s="14">
        <f>Pressure!$D$4</f>
        <v>3500000000</v>
      </c>
      <c r="J23" s="10" t="s">
        <v>126</v>
      </c>
      <c r="O23" s="10">
        <v>5</v>
      </c>
      <c r="P23" s="21">
        <f t="shared" ca="1" si="22"/>
        <v>2.4874685927665499</v>
      </c>
      <c r="Q23" s="21">
        <f t="shared" ca="1" si="23"/>
        <v>-1.9899748742132399</v>
      </c>
      <c r="R23" s="34">
        <f t="shared" ca="1" si="24"/>
        <v>4.47744346697979E-2</v>
      </c>
      <c r="T23" s="37">
        <f ca="1">T19/T21</f>
        <v>0.59587387151396964</v>
      </c>
    </row>
    <row r="24" spans="1:24" x14ac:dyDescent="0.25">
      <c r="A24" s="20" t="s">
        <v>20</v>
      </c>
      <c r="B24" s="20">
        <f ca="1">2*(B19+B23)</f>
        <v>0.36000000000000004</v>
      </c>
      <c r="C24" s="20" t="s">
        <v>9</v>
      </c>
      <c r="D24" s="7"/>
      <c r="E24" s="14">
        <v>500000</v>
      </c>
      <c r="F24" s="63">
        <f ca="1">IF(RIGHT($A$1,4)*1=2411,VLOOKUP(E24,AofAs!B9:$D$10,3,0),VLOOKUP(E24,AofAs!$B$13:$D$18,3,0))</f>
        <v>5</v>
      </c>
      <c r="G24" s="8"/>
      <c r="H24" s="55" t="s">
        <v>127</v>
      </c>
      <c r="I24" s="14">
        <f ca="1">VLOOKUP(O39,Pressure!$F$2:$M$11,6,0)</f>
        <v>1.1433333333333333E-9</v>
      </c>
      <c r="J24" s="10" t="s">
        <v>128</v>
      </c>
      <c r="O24" s="10">
        <v>6</v>
      </c>
      <c r="P24" s="21">
        <f t="shared" ca="1" si="22"/>
        <v>2.4494897427831779</v>
      </c>
      <c r="Q24" s="21">
        <f t="shared" ca="1" si="23"/>
        <v>-1.9595917942265424</v>
      </c>
      <c r="R24" s="34">
        <f t="shared" ca="1" si="24"/>
        <v>4.4090815370097208E-2</v>
      </c>
      <c r="T24" s="32" t="s">
        <v>92</v>
      </c>
    </row>
    <row r="25" spans="1:24" x14ac:dyDescent="0.25">
      <c r="A25" s="20" t="s">
        <v>21</v>
      </c>
      <c r="B25" s="43">
        <f ca="1">AVERAGE(M3:M14)</f>
        <v>3.8385296811902586E-2</v>
      </c>
      <c r="C25" s="20" t="s">
        <v>9</v>
      </c>
      <c r="D25" s="7"/>
      <c r="E25" s="14">
        <v>1000000</v>
      </c>
      <c r="F25" s="63">
        <f ca="1">IF(RIGHT($A$1,4)*1=2411,VLOOKUP(E25,AofAs!B10:$D$10,3,0),VLOOKUP(E25,AofAs!$B$13:$D$18,3,0))</f>
        <v>4.5</v>
      </c>
      <c r="G25" s="8"/>
      <c r="H25" s="55" t="s">
        <v>129</v>
      </c>
      <c r="I25" s="14">
        <f ca="1">VLOOKUP(O39,Pressure!$F$2:$M$11,7,0)</f>
        <v>6.0000000000000001E-3</v>
      </c>
      <c r="J25" s="10" t="s">
        <v>9</v>
      </c>
      <c r="O25" s="10">
        <v>7</v>
      </c>
      <c r="P25" s="21">
        <f t="shared" ca="1" si="22"/>
        <v>2.384848003542364</v>
      </c>
      <c r="Q25" s="21">
        <f t="shared" ca="1" si="23"/>
        <v>-1.9078784028338913</v>
      </c>
      <c r="R25" s="34">
        <f t="shared" ca="1" si="24"/>
        <v>4.2927264063762557E-2</v>
      </c>
      <c r="T25" s="35">
        <f ca="1">O3/Q3</f>
        <v>10.186806557792835</v>
      </c>
    </row>
    <row r="26" spans="1:24" x14ac:dyDescent="0.25">
      <c r="A26" s="20" t="s">
        <v>57</v>
      </c>
      <c r="B26" s="4">
        <v>0.36</v>
      </c>
      <c r="C26" s="20" t="s">
        <v>9</v>
      </c>
      <c r="E26" s="71"/>
      <c r="F26" s="72"/>
      <c r="H26" s="55" t="s">
        <v>131</v>
      </c>
      <c r="I26" s="10">
        <f>A15-A3</f>
        <v>0.12000000000000001</v>
      </c>
      <c r="J26" s="10" t="s">
        <v>9</v>
      </c>
      <c r="O26" s="10">
        <v>8</v>
      </c>
      <c r="P26" s="21">
        <f t="shared" ca="1" si="22"/>
        <v>2.2912878474779199</v>
      </c>
      <c r="Q26" s="21">
        <f t="shared" ca="1" si="23"/>
        <v>-1.833030277982336</v>
      </c>
      <c r="R26" s="34">
        <f t="shared" ca="1" si="24"/>
        <v>4.1243181254602565E-2</v>
      </c>
    </row>
    <row r="27" spans="1:24" x14ac:dyDescent="0.25">
      <c r="A27" s="20" t="s">
        <v>52</v>
      </c>
      <c r="B27" s="22">
        <f>AVERAGE(K3:K15)</f>
        <v>0.35884886666334948</v>
      </c>
      <c r="C27" s="20" t="s">
        <v>9</v>
      </c>
      <c r="E27" s="8"/>
      <c r="F27" s="8"/>
      <c r="O27" s="10">
        <v>9</v>
      </c>
      <c r="P27" s="21">
        <f t="shared" ca="1" si="22"/>
        <v>2.1650635094610968</v>
      </c>
      <c r="Q27" s="21">
        <f t="shared" ca="1" si="23"/>
        <v>-1.7320508075688772</v>
      </c>
      <c r="R27" s="34">
        <f t="shared" ca="1" si="24"/>
        <v>3.8971143170299739E-2</v>
      </c>
    </row>
    <row r="28" spans="1:24" x14ac:dyDescent="0.25">
      <c r="A28" s="20" t="s">
        <v>23</v>
      </c>
      <c r="B28" s="21">
        <f ca="1">B27/B24</f>
        <v>0.99680240739819292</v>
      </c>
      <c r="C28" s="20"/>
      <c r="D28" s="18" t="s">
        <v>91</v>
      </c>
      <c r="O28" s="10">
        <v>10</v>
      </c>
      <c r="P28" s="21">
        <f t="shared" ca="1" si="22"/>
        <v>2</v>
      </c>
      <c r="Q28" s="21">
        <f t="shared" ca="1" si="23"/>
        <v>-1.6</v>
      </c>
      <c r="R28" s="34">
        <f t="shared" ca="1" si="24"/>
        <v>3.6000000000000004E-2</v>
      </c>
    </row>
    <row r="29" spans="1:24" x14ac:dyDescent="0.25">
      <c r="A29" s="20" t="s">
        <v>24</v>
      </c>
      <c r="B29" s="20">
        <v>0.06</v>
      </c>
      <c r="C29" s="10"/>
      <c r="O29" s="10">
        <v>11</v>
      </c>
      <c r="P29" s="21">
        <f t="shared" ca="1" si="22"/>
        <v>1.7853571071357126</v>
      </c>
      <c r="Q29" s="21">
        <f t="shared" ca="1" si="23"/>
        <v>-1.42828568570857</v>
      </c>
      <c r="R29" s="34">
        <f t="shared" ca="1" si="24"/>
        <v>3.2136427928442832E-2</v>
      </c>
    </row>
    <row r="30" spans="1:24" x14ac:dyDescent="0.25">
      <c r="A30" s="20" t="s">
        <v>25</v>
      </c>
      <c r="B30" s="20">
        <v>0.04</v>
      </c>
      <c r="C30" s="10"/>
      <c r="O30" s="10">
        <v>12</v>
      </c>
      <c r="P30" s="21">
        <f t="shared" ca="1" si="22"/>
        <v>1.5</v>
      </c>
      <c r="Q30" s="21">
        <f t="shared" ca="1" si="23"/>
        <v>-1.2</v>
      </c>
      <c r="R30" s="34">
        <f t="shared" ca="1" si="24"/>
        <v>2.7000000000000003E-2</v>
      </c>
    </row>
    <row r="31" spans="1:24" x14ac:dyDescent="0.25">
      <c r="O31" s="10">
        <v>13</v>
      </c>
      <c r="P31" s="21">
        <f t="shared" ca="1" si="22"/>
        <v>1.0897247358851685</v>
      </c>
      <c r="Q31" s="21">
        <f t="shared" ca="1" si="23"/>
        <v>-0.87177978870813466</v>
      </c>
      <c r="R31" s="34">
        <f t="shared" ca="1" si="24"/>
        <v>1.9615045245933032E-2</v>
      </c>
    </row>
    <row r="32" spans="1:24" x14ac:dyDescent="0.25">
      <c r="A32" s="5" t="s">
        <v>134</v>
      </c>
      <c r="O32" s="10">
        <v>14</v>
      </c>
      <c r="P32" s="21">
        <f t="shared" ca="1" si="22"/>
        <v>0</v>
      </c>
      <c r="Q32" s="21">
        <f t="shared" ca="1" si="23"/>
        <v>0</v>
      </c>
      <c r="R32" s="34">
        <f t="shared" ca="1" si="24"/>
        <v>0</v>
      </c>
    </row>
    <row r="33" spans="1:19" x14ac:dyDescent="0.25">
      <c r="A33" s="1"/>
      <c r="C33" s="9"/>
      <c r="D33" s="6"/>
      <c r="R33" s="30">
        <f ca="1">AVERAGE(R20:R32)</f>
        <v>3.5432581672525464E-2</v>
      </c>
      <c r="S33" s="2" t="s">
        <v>79</v>
      </c>
    </row>
    <row r="34" spans="1:19" x14ac:dyDescent="0.25">
      <c r="B34" s="9"/>
      <c r="C34" s="9"/>
      <c r="D34" s="6"/>
      <c r="O34" s="18" t="s">
        <v>46</v>
      </c>
      <c r="P34" s="1">
        <f ca="1">VLOOKUP($O$39,'Summary+ellip'!$A$16:$F$20,2,0)</f>
        <v>1</v>
      </c>
    </row>
    <row r="35" spans="1:19" x14ac:dyDescent="0.25">
      <c r="C35" s="9"/>
      <c r="D35" s="6"/>
      <c r="O35" s="18" t="s">
        <v>49</v>
      </c>
      <c r="P35" s="1">
        <f ca="1">VLOOKUP($O$39,'Summary+ellip'!$A$16:$F$20,3,0)</f>
        <v>64</v>
      </c>
    </row>
    <row r="36" spans="1:19" x14ac:dyDescent="0.25">
      <c r="C36" s="9"/>
      <c r="D36" s="6"/>
      <c r="O36" s="18" t="s">
        <v>50</v>
      </c>
      <c r="P36" s="1">
        <f ca="1">VLOOKUP($O$39,'Summary+ellip'!$A$16:$F$20,4,0)</f>
        <v>100</v>
      </c>
    </row>
    <row r="37" spans="1:19" x14ac:dyDescent="0.25">
      <c r="C37" s="9"/>
      <c r="D37" s="6"/>
      <c r="O37" s="18" t="s">
        <v>47</v>
      </c>
      <c r="P37" s="1">
        <f ca="1">VLOOKUP($O$39,'Summary+ellip'!$A$16:$F$20,5,0)</f>
        <v>400</v>
      </c>
    </row>
    <row r="38" spans="1:19" x14ac:dyDescent="0.25">
      <c r="A38" s="18" t="s">
        <v>135</v>
      </c>
      <c r="C38" s="9"/>
      <c r="D38" s="6"/>
      <c r="O38" s="18" t="s">
        <v>67</v>
      </c>
      <c r="P38" s="1">
        <f ca="1">VLOOKUP($O$39,'Summary+ellip'!$A$16:$F$20,6,0)</f>
        <v>8</v>
      </c>
    </row>
    <row r="39" spans="1:19" x14ac:dyDescent="0.25">
      <c r="C39" s="9"/>
      <c r="D39" s="6"/>
      <c r="O39" s="18" t="str">
        <f ca="1">TEXT(REPLACE(CELL("filename",O39),1,SEARCH("]",CELL("filename",O39)),""),"")</f>
        <v>Stephen-half</v>
      </c>
    </row>
    <row r="40" spans="1:19" x14ac:dyDescent="0.25">
      <c r="C40" s="9"/>
      <c r="D40" s="6"/>
    </row>
    <row r="41" spans="1:19" x14ac:dyDescent="0.25">
      <c r="C41" s="9"/>
      <c r="D41" s="6"/>
    </row>
    <row r="42" spans="1:19" x14ac:dyDescent="0.25">
      <c r="C42" s="9"/>
      <c r="D42" s="6"/>
    </row>
    <row r="43" spans="1:19" x14ac:dyDescent="0.25">
      <c r="C43" s="9"/>
      <c r="D43" s="6"/>
    </row>
    <row r="44" spans="1:19" x14ac:dyDescent="0.25">
      <c r="C44" s="9"/>
      <c r="D44" s="6"/>
    </row>
    <row r="45" spans="1:19" x14ac:dyDescent="0.25">
      <c r="C45" s="9"/>
      <c r="D45" s="6"/>
    </row>
    <row r="46" spans="1:19" x14ac:dyDescent="0.25">
      <c r="C46" s="9"/>
      <c r="D46" s="6"/>
    </row>
    <row r="47" spans="1:19" x14ac:dyDescent="0.25">
      <c r="C47" s="9"/>
      <c r="D47" s="6"/>
    </row>
    <row r="48" spans="1:19" x14ac:dyDescent="0.25">
      <c r="C48" s="9"/>
      <c r="D48" s="6"/>
    </row>
    <row r="49" spans="3:4" x14ac:dyDescent="0.25">
      <c r="C49" s="9"/>
      <c r="D49" s="6"/>
    </row>
    <row r="50" spans="3:4" x14ac:dyDescent="0.25">
      <c r="C50" s="9"/>
      <c r="D50" s="6"/>
    </row>
    <row r="51" spans="3:4" x14ac:dyDescent="0.25">
      <c r="C51" s="9"/>
      <c r="D51" s="6"/>
    </row>
    <row r="52" spans="3:4" x14ac:dyDescent="0.25">
      <c r="C52" s="9"/>
      <c r="D52" s="6"/>
    </row>
    <row r="53" spans="3:4" x14ac:dyDescent="0.25">
      <c r="C53" s="9"/>
      <c r="D53" s="6"/>
    </row>
    <row r="54" spans="3:4" x14ac:dyDescent="0.25">
      <c r="C54" s="9"/>
      <c r="D54" s="6"/>
    </row>
    <row r="55" spans="3:4" x14ac:dyDescent="0.25">
      <c r="C55" s="9"/>
      <c r="D55" s="6"/>
    </row>
    <row r="56" spans="3:4" x14ac:dyDescent="0.25">
      <c r="C56" s="9"/>
      <c r="D56" s="6"/>
    </row>
    <row r="57" spans="3:4" x14ac:dyDescent="0.25">
      <c r="C57" s="9"/>
      <c r="D57" s="6"/>
    </row>
  </sheetData>
  <mergeCells count="5">
    <mergeCell ref="C1:H1"/>
    <mergeCell ref="A18:C18"/>
    <mergeCell ref="E18:F18"/>
    <mergeCell ref="O18:Q18"/>
    <mergeCell ref="N1:X1"/>
  </mergeCells>
  <conditionalFormatting sqref="H21:H22 H17 J16">
    <cfRule type="cellIs" dxfId="14" priority="3" operator="greaterThan">
      <formula>0</formula>
    </cfRule>
  </conditionalFormatting>
  <conditionalFormatting sqref="U19">
    <cfRule type="cellIs" dxfId="13" priority="1" operator="greaterThan">
      <formula>1.1</formula>
    </cfRule>
    <cfRule type="cellIs" dxfId="12" priority="2" operator="lessThan">
      <formula>0.8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5"/>
  <sheetViews>
    <sheetView zoomScale="81" zoomScaleNormal="85" workbookViewId="0">
      <selection activeCell="B25" sqref="B25"/>
    </sheetView>
  </sheetViews>
  <sheetFormatPr defaultRowHeight="15" x14ac:dyDescent="0.25"/>
  <cols>
    <col min="1" max="1" width="11.28515625" style="18" bestFit="1" customWidth="1"/>
    <col min="2" max="2" width="6.85546875" style="18" customWidth="1"/>
    <col min="3" max="3" width="9.140625" style="18"/>
    <col min="4" max="4" width="9.7109375" style="18" customWidth="1"/>
    <col min="5" max="5" width="11.85546875" style="18" customWidth="1"/>
    <col min="6" max="6" width="9.28515625" style="18" customWidth="1"/>
    <col min="7" max="7" width="9" style="18" bestFit="1" customWidth="1"/>
    <col min="8" max="8" width="7.85546875" style="18" customWidth="1"/>
    <col min="9" max="9" width="9.140625" style="18"/>
    <col min="10" max="11" width="9.85546875" style="18" bestFit="1" customWidth="1"/>
    <col min="12" max="12" width="9.7109375" style="18" bestFit="1" customWidth="1"/>
    <col min="13" max="13" width="14.7109375" style="18" bestFit="1" customWidth="1"/>
    <col min="14" max="14" width="15.42578125" style="18" bestFit="1" customWidth="1"/>
    <col min="15" max="15" width="6.85546875" style="18" customWidth="1"/>
    <col min="16" max="16" width="8.28515625" style="1" customWidth="1"/>
    <col min="17" max="17" width="9.85546875" style="18" customWidth="1"/>
    <col min="18" max="18" width="12.140625" style="18" bestFit="1" customWidth="1"/>
    <col min="19" max="19" width="12.28515625" style="18" customWidth="1"/>
    <col min="20" max="20" width="12.7109375" style="18" customWidth="1"/>
    <col min="21" max="21" width="13" style="18" bestFit="1" customWidth="1"/>
    <col min="22" max="22" width="8.42578125" style="18" bestFit="1" customWidth="1"/>
    <col min="23" max="23" width="11.28515625" style="18" bestFit="1" customWidth="1"/>
    <col min="24" max="16384" width="9.140625" style="18"/>
  </cols>
  <sheetData>
    <row r="1" spans="1:25" x14ac:dyDescent="0.25">
      <c r="A1" s="24" t="str">
        <f ca="1">CONCATENATE("NACA "&amp;VLOOKUP(LEFT($O$35,SEARCH("-",$O$35)-1),'Summary+ellip'!$A$2:$F$6,6,0))</f>
        <v>NACA 2411</v>
      </c>
      <c r="C1" s="81" t="s">
        <v>0</v>
      </c>
      <c r="D1" s="81"/>
      <c r="E1" s="81"/>
      <c r="F1" s="81"/>
      <c r="G1" s="81"/>
      <c r="H1" s="81"/>
      <c r="I1" s="62"/>
      <c r="J1" s="62"/>
      <c r="L1" s="87" t="s">
        <v>152</v>
      </c>
      <c r="M1" s="18" t="s">
        <v>89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5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56</v>
      </c>
      <c r="I2" s="2" t="s">
        <v>138</v>
      </c>
      <c r="J2" s="3" t="s">
        <v>6</v>
      </c>
      <c r="K2" s="39" t="s">
        <v>7</v>
      </c>
      <c r="L2" s="87"/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5" x14ac:dyDescent="0.25">
      <c r="A3" s="1">
        <v>0.02</v>
      </c>
      <c r="B3" s="6">
        <f t="shared" ref="B3:B13" si="0">A3*$B$20</f>
        <v>0.53407075111026492</v>
      </c>
      <c r="C3" s="6">
        <f t="shared" ref="C3:C13" si="1">SQRT(B3^2+$B$18^2)</f>
        <v>1.2227966172636735</v>
      </c>
      <c r="D3" s="7">
        <f t="shared" ref="D3:D13" ca="1" si="2">C3*$B$23/$K$17</f>
        <v>40313.687169801982</v>
      </c>
      <c r="E3" s="8">
        <f t="shared" ref="E3:E13" si="3">DEGREES(ATAN(K3/(2*PI()*A3)))</f>
        <v>71.10255213110851</v>
      </c>
      <c r="F3" s="8">
        <f t="shared" ref="F3:F13" si="4">DEGREES(ATAN($B$18/B3))</f>
        <v>64.10255219624257</v>
      </c>
      <c r="G3" s="6">
        <f ca="1">VLOOKUP(D3,$E$18:$F$23,2,1)</f>
        <v>7</v>
      </c>
      <c r="H3" s="6">
        <f t="shared" ref="H3:H13" si="5">E3-F3</f>
        <v>6.9999999348659401</v>
      </c>
      <c r="I3" s="8">
        <f ca="1">G3-H3</f>
        <v>6.5134059923366294E-8</v>
      </c>
      <c r="J3" s="13">
        <f ca="1">(G3-H3)/G3</f>
        <v>9.3048657033380425E-9</v>
      </c>
      <c r="K3" s="54">
        <v>0.36708700604222239</v>
      </c>
      <c r="L3" s="13">
        <f t="shared" ref="L3:L13" si="6">($B$24-K3)/$B$24</f>
        <v>-7.9667664830065765E-2</v>
      </c>
      <c r="M3" s="17">
        <f ca="1">R18</f>
        <v>4.319071364132742E-2</v>
      </c>
      <c r="N3" s="7">
        <f ca="1">M3*($A$4-$A$3)</f>
        <v>4.3190713641327416E-4</v>
      </c>
      <c r="O3" s="9">
        <f t="shared" ref="O3:O13" si="7">2*PI()*RADIANS(H3)</f>
        <v>0.76763589071975669</v>
      </c>
      <c r="P3" s="6">
        <f t="shared" ref="P3:P13" ca="1" si="8">0.5*O3*$I$17*C3^2*N3</f>
        <v>0.24764700065521114</v>
      </c>
      <c r="Q3" s="9">
        <f t="shared" ref="Q3:Q13" si="9">$B$27*O3^2+$B$28</f>
        <v>7.5355891643266865E-2</v>
      </c>
      <c r="R3" s="9">
        <f t="shared" ref="R3:R13" ca="1" si="10">0.5*Q3*$I$17*C3^2*N3</f>
        <v>2.4310562823810174E-2</v>
      </c>
      <c r="S3" s="6">
        <f t="shared" ref="S3:S13" ca="1" si="11">P3*COS(RADIANS(F3+H3))-R3*SIN(RADIANS(F3+H3))</f>
        <v>5.7206522475419241E-2</v>
      </c>
      <c r="T3" s="6">
        <f t="shared" ref="T3:T13" ca="1" si="12">R3*COS(RADIANS(F3+H3))+P3*SIN(RADIANS(F3+H3))</f>
        <v>0.24217236461785216</v>
      </c>
      <c r="U3" s="9">
        <f t="shared" ref="U3:U13" ca="1" si="13">T3*A3</f>
        <v>4.8434472923570429E-3</v>
      </c>
      <c r="V3" s="8">
        <f ca="1">P3/N3</f>
        <v>573.38020091950489</v>
      </c>
      <c r="W3" s="60">
        <f t="shared" ref="W3:W13" ca="1" si="14">24*$I$21*$I$22*$I$23/$I$24^3/(A3^2-4*$I$24*A3+6*$I$24^2)</f>
        <v>5048.4641221374077</v>
      </c>
      <c r="X3" s="18" t="str">
        <f ca="1">IF(V3&lt;W3,"Good","Change")</f>
        <v>Good</v>
      </c>
    </row>
    <row r="4" spans="1:25" x14ac:dyDescent="0.25">
      <c r="A4" s="18">
        <v>0.03</v>
      </c>
      <c r="B4" s="6">
        <f t="shared" si="0"/>
        <v>0.80110612666539727</v>
      </c>
      <c r="C4" s="6">
        <f t="shared" si="1"/>
        <v>1.3607979373076797</v>
      </c>
      <c r="D4" s="7">
        <f t="shared" ca="1" si="2"/>
        <v>44863.374310516534</v>
      </c>
      <c r="E4" s="8">
        <f t="shared" si="3"/>
        <v>60.934961375511527</v>
      </c>
      <c r="F4" s="8">
        <f t="shared" si="4"/>
        <v>53.93496137790892</v>
      </c>
      <c r="G4" s="6">
        <f t="shared" ref="G4:G13" ca="1" si="15">VLOOKUP(D4,$E$18:$F$23,2,1)</f>
        <v>7</v>
      </c>
      <c r="H4" s="6">
        <f t="shared" si="5"/>
        <v>6.9999999976026075</v>
      </c>
      <c r="I4" s="8">
        <f t="shared" ref="I4:I13" ca="1" si="16">G4-H4</f>
        <v>2.3973925067366508E-9</v>
      </c>
      <c r="J4" s="13">
        <f t="shared" ref="J4:J13" ca="1" si="17">(G4-H4)/G4</f>
        <v>3.4248464381952155E-10</v>
      </c>
      <c r="K4" s="54">
        <v>0.33914650266217444</v>
      </c>
      <c r="L4" s="13">
        <f t="shared" si="6"/>
        <v>2.5102862877222987E-3</v>
      </c>
      <c r="M4" s="17">
        <f t="shared" ref="M4:M13" ca="1" si="18">R19</f>
        <v>4.3803378478474618E-2</v>
      </c>
      <c r="N4" s="7">
        <f t="shared" ref="N4:N13" ca="1" si="19">M4*($A$4-$A$3)</f>
        <v>4.3803378478474614E-4</v>
      </c>
      <c r="O4" s="9">
        <f t="shared" si="7"/>
        <v>0.76763589759960216</v>
      </c>
      <c r="P4" s="6">
        <f t="shared" ca="1" si="8"/>
        <v>0.31104923094217152</v>
      </c>
      <c r="Q4" s="9">
        <f t="shared" si="9"/>
        <v>7.5355892277012809E-2</v>
      </c>
      <c r="R4" s="9">
        <f t="shared" ca="1" si="10"/>
        <v>3.0534518269691332E-2</v>
      </c>
      <c r="S4" s="6">
        <f t="shared" ca="1" si="11"/>
        <v>0.12441910610969589</v>
      </c>
      <c r="T4" s="6">
        <f t="shared" ca="1" si="12"/>
        <v>0.28671216735699012</v>
      </c>
      <c r="U4" s="9">
        <f t="shared" ca="1" si="13"/>
        <v>8.6013650207097028E-3</v>
      </c>
      <c r="V4" s="8">
        <f t="shared" ref="V4:V13" ca="1" si="20">P4/N4</f>
        <v>710.10328825440706</v>
      </c>
      <c r="W4" s="60">
        <f t="shared" ca="1" si="14"/>
        <v>5409.806134969328</v>
      </c>
      <c r="X4" s="18" t="str">
        <f t="shared" ref="X4:X13" ca="1" si="21">IF(V4&lt;W4,"Good","Change")</f>
        <v>Good</v>
      </c>
    </row>
    <row r="5" spans="1:25" x14ac:dyDescent="0.25">
      <c r="A5" s="18">
        <v>0.04</v>
      </c>
      <c r="B5" s="6">
        <f t="shared" si="0"/>
        <v>1.0681415022205298</v>
      </c>
      <c r="C5" s="6">
        <f t="shared" si="1"/>
        <v>1.5332730574708244</v>
      </c>
      <c r="D5" s="7">
        <f t="shared" ca="1" si="2"/>
        <v>50549.608587472918</v>
      </c>
      <c r="E5" s="8">
        <f t="shared" si="3"/>
        <v>52.341839017154435</v>
      </c>
      <c r="F5" s="8">
        <f t="shared" si="4"/>
        <v>45.841839016401302</v>
      </c>
      <c r="G5" s="6">
        <f t="shared" ca="1" si="15"/>
        <v>6.5</v>
      </c>
      <c r="H5" s="6">
        <f t="shared" si="5"/>
        <v>6.5000000007531327</v>
      </c>
      <c r="I5" s="8">
        <f t="shared" ca="1" si="16"/>
        <v>-7.5313266734156059E-10</v>
      </c>
      <c r="J5" s="13">
        <f t="shared" ca="1" si="17"/>
        <v>-1.1586656420639394E-10</v>
      </c>
      <c r="K5" s="54">
        <v>0.32567089537872768</v>
      </c>
      <c r="L5" s="13">
        <f t="shared" si="6"/>
        <v>4.2144425356683377E-2</v>
      </c>
      <c r="M5" s="17">
        <f t="shared" ca="1" si="18"/>
        <v>4.3803378478474618E-2</v>
      </c>
      <c r="N5" s="7">
        <f t="shared" ca="1" si="19"/>
        <v>4.3803378478474614E-4</v>
      </c>
      <c r="O5" s="9">
        <f t="shared" si="7"/>
        <v>0.71280476238348833</v>
      </c>
      <c r="P5" s="6">
        <f t="shared" ca="1" si="8"/>
        <v>0.36668755681039156</v>
      </c>
      <c r="Q5" s="9">
        <f t="shared" si="9"/>
        <v>7.0485437756594868E-2</v>
      </c>
      <c r="R5" s="9">
        <f t="shared" ca="1" si="10"/>
        <v>3.6259764700858572E-2</v>
      </c>
      <c r="S5" s="6">
        <f t="shared" ca="1" si="11"/>
        <v>0.19532167052169497</v>
      </c>
      <c r="T5" s="6">
        <f t="shared" ca="1" si="12"/>
        <v>0.31244836354244232</v>
      </c>
      <c r="U5" s="9">
        <f t="shared" ca="1" si="13"/>
        <v>1.2497934541697692E-2</v>
      </c>
      <c r="V5" s="8">
        <f t="shared" ca="1" si="20"/>
        <v>837.12163204622493</v>
      </c>
      <c r="W5" s="60">
        <f t="shared" ca="1" si="14"/>
        <v>5801.3052631578985</v>
      </c>
      <c r="X5" s="18" t="str">
        <f t="shared" ca="1" si="21"/>
        <v>Good</v>
      </c>
    </row>
    <row r="6" spans="1:25" x14ac:dyDescent="0.25">
      <c r="A6" s="18">
        <v>0.05</v>
      </c>
      <c r="B6" s="6">
        <f t="shared" si="0"/>
        <v>1.3351768777756623</v>
      </c>
      <c r="C6" s="6">
        <f t="shared" si="1"/>
        <v>1.72994141373249</v>
      </c>
      <c r="D6" s="7">
        <f t="shared" ca="1" si="2"/>
        <v>57033.455924468239</v>
      </c>
      <c r="E6" s="8">
        <f t="shared" si="3"/>
        <v>45.983774794556545</v>
      </c>
      <c r="F6" s="8">
        <f t="shared" si="4"/>
        <v>39.483774794291421</v>
      </c>
      <c r="G6" s="6">
        <f t="shared" ca="1" si="15"/>
        <v>6.5</v>
      </c>
      <c r="H6" s="6">
        <f t="shared" si="5"/>
        <v>6.5000000002651248</v>
      </c>
      <c r="I6" s="8">
        <f t="shared" ca="1" si="16"/>
        <v>-2.6512481099416618E-10</v>
      </c>
      <c r="J6" s="13">
        <f t="shared" ca="1" si="17"/>
        <v>-4.0788432460640949E-11</v>
      </c>
      <c r="K6" s="54">
        <v>0.3251371331997473</v>
      </c>
      <c r="L6" s="13">
        <f t="shared" si="6"/>
        <v>4.3714314118390371E-2</v>
      </c>
      <c r="M6" s="17">
        <f t="shared" ca="1" si="18"/>
        <v>4.319071364132742E-2</v>
      </c>
      <c r="N6" s="7">
        <f t="shared" ca="1" si="19"/>
        <v>4.3190713641327416E-4</v>
      </c>
      <c r="O6" s="9">
        <f t="shared" si="7"/>
        <v>0.71280476232997225</v>
      </c>
      <c r="P6" s="6">
        <f t="shared" ca="1" si="8"/>
        <v>0.46025946357749659</v>
      </c>
      <c r="Q6" s="9">
        <f t="shared" si="9"/>
        <v>7.0485437752017294E-2</v>
      </c>
      <c r="R6" s="9">
        <f t="shared" ca="1" si="10"/>
        <v>4.5512588417234247E-2</v>
      </c>
      <c r="S6" s="6">
        <f t="shared" ca="1" si="11"/>
        <v>0.28708677136899963</v>
      </c>
      <c r="T6" s="6">
        <f t="shared" ca="1" si="12"/>
        <v>0.36261736751292706</v>
      </c>
      <c r="U6" s="9">
        <f t="shared" ca="1" si="13"/>
        <v>1.8130868375646352E-2</v>
      </c>
      <c r="V6" s="8">
        <f t="shared" ca="1" si="20"/>
        <v>1065.6444980272177</v>
      </c>
      <c r="W6" s="60">
        <f t="shared" ca="1" si="14"/>
        <v>6224.4592941176506</v>
      </c>
      <c r="X6" s="18" t="str">
        <f t="shared" ca="1" si="21"/>
        <v>Good</v>
      </c>
    </row>
    <row r="7" spans="1:25" x14ac:dyDescent="0.25">
      <c r="A7" s="18">
        <v>0.06</v>
      </c>
      <c r="B7" s="6">
        <f t="shared" si="0"/>
        <v>1.6022122533307945</v>
      </c>
      <c r="C7" s="6">
        <f t="shared" si="1"/>
        <v>1.9434721775017367</v>
      </c>
      <c r="D7" s="7">
        <f t="shared" ca="1" si="2"/>
        <v>64073.230397336367</v>
      </c>
      <c r="E7" s="8">
        <f t="shared" si="3"/>
        <v>40.97157411427078</v>
      </c>
      <c r="F7" s="8">
        <f t="shared" si="4"/>
        <v>34.471574114135912</v>
      </c>
      <c r="G7" s="6">
        <f t="shared" ca="1" si="15"/>
        <v>6.5</v>
      </c>
      <c r="H7" s="6">
        <f t="shared" si="5"/>
        <v>6.5000000001348681</v>
      </c>
      <c r="I7" s="8">
        <f t="shared" ca="1" si="16"/>
        <v>-1.3486811667462462E-10</v>
      </c>
      <c r="J7" s="13">
        <f t="shared" ca="1" si="17"/>
        <v>-2.0748941026865326E-11</v>
      </c>
      <c r="K7" s="54">
        <v>0.32738515159027415</v>
      </c>
      <c r="L7" s="13">
        <f t="shared" si="6"/>
        <v>3.710249532272316E-2</v>
      </c>
      <c r="M7" s="17">
        <f t="shared" ca="1" si="18"/>
        <v>4.1938541966602176E-2</v>
      </c>
      <c r="N7" s="7">
        <f t="shared" ca="1" si="19"/>
        <v>4.193854196660217E-4</v>
      </c>
      <c r="O7" s="9">
        <f t="shared" si="7"/>
        <v>0.71280476231568801</v>
      </c>
      <c r="P7" s="6">
        <f t="shared" ca="1" si="8"/>
        <v>0.56405251377194687</v>
      </c>
      <c r="Q7" s="9">
        <f t="shared" si="9"/>
        <v>7.0485437750795465E-2</v>
      </c>
      <c r="R7" s="9">
        <f t="shared" ca="1" si="10"/>
        <v>5.5776126156189189E-2</v>
      </c>
      <c r="S7" s="6">
        <f t="shared" ca="1" si="11"/>
        <v>0.38930783314612855</v>
      </c>
      <c r="T7" s="6">
        <f t="shared" ca="1" si="12"/>
        <v>0.41195342648472971</v>
      </c>
      <c r="U7" s="9">
        <f t="shared" ca="1" si="13"/>
        <v>2.4717205589083781E-2</v>
      </c>
      <c r="V7" s="8">
        <f t="shared" ca="1" si="20"/>
        <v>1344.9502231649615</v>
      </c>
      <c r="W7" s="60">
        <f t="shared" ca="1" si="14"/>
        <v>6680.2909090909125</v>
      </c>
      <c r="X7" s="18" t="str">
        <f t="shared" ca="1" si="21"/>
        <v>Good</v>
      </c>
    </row>
    <row r="8" spans="1:25" x14ac:dyDescent="0.25">
      <c r="A8" s="18">
        <v>7.0000000000000007E-2</v>
      </c>
      <c r="B8" s="6">
        <f t="shared" si="0"/>
        <v>1.8692476288859272</v>
      </c>
      <c r="C8" s="6">
        <f t="shared" si="1"/>
        <v>2.1688906607055278</v>
      </c>
      <c r="D8" s="7">
        <f t="shared" ca="1" si="2"/>
        <v>71504.924340442318</v>
      </c>
      <c r="E8" s="8">
        <f t="shared" si="3"/>
        <v>36.975622175478577</v>
      </c>
      <c r="F8" s="8">
        <f t="shared" si="4"/>
        <v>30.475622175393767</v>
      </c>
      <c r="G8" s="6">
        <f t="shared" ca="1" si="15"/>
        <v>6.5</v>
      </c>
      <c r="H8" s="6">
        <f t="shared" si="5"/>
        <v>6.5000000000848104</v>
      </c>
      <c r="I8" s="8">
        <f t="shared" ca="1" si="16"/>
        <v>-8.4810380940325558E-11</v>
      </c>
      <c r="J8" s="13">
        <f t="shared" ca="1" si="17"/>
        <v>-1.304775091389624E-11</v>
      </c>
      <c r="K8" s="54">
        <v>0.33113708033376155</v>
      </c>
      <c r="L8" s="13">
        <f t="shared" si="6"/>
        <v>2.6067410783054346E-2</v>
      </c>
      <c r="M8" s="17">
        <f t="shared" ca="1" si="18"/>
        <v>3.9986830812661446E-2</v>
      </c>
      <c r="N8" s="7">
        <f t="shared" ca="1" si="19"/>
        <v>3.9986830812661439E-4</v>
      </c>
      <c r="O8" s="9">
        <f t="shared" si="7"/>
        <v>0.71280476231019863</v>
      </c>
      <c r="P8" s="6">
        <f t="shared" ca="1" si="8"/>
        <v>0.66979493397385459</v>
      </c>
      <c r="Q8" s="9">
        <f t="shared" si="9"/>
        <v>7.0485437750325924E-2</v>
      </c>
      <c r="R8" s="9">
        <f t="shared" ca="1" si="10"/>
        <v>6.623242663403052E-2</v>
      </c>
      <c r="S8" s="6">
        <f t="shared" ca="1" si="11"/>
        <v>0.49525631535177078</v>
      </c>
      <c r="T8" s="6">
        <f t="shared" ca="1" si="12"/>
        <v>0.45577754444362417</v>
      </c>
      <c r="U8" s="9">
        <f t="shared" ca="1" si="13"/>
        <v>3.1904428111053693E-2</v>
      </c>
      <c r="V8" s="8">
        <f t="shared" ca="1" si="20"/>
        <v>1675.0388074309969</v>
      </c>
      <c r="W8" s="60">
        <f t="shared" ca="1" si="14"/>
        <v>7169.0926829268337</v>
      </c>
      <c r="X8" s="18" t="str">
        <f t="shared" ca="1" si="21"/>
        <v>Good</v>
      </c>
    </row>
    <row r="9" spans="1:25" x14ac:dyDescent="0.25">
      <c r="A9" s="18">
        <v>0.08</v>
      </c>
      <c r="B9" s="6">
        <f t="shared" si="0"/>
        <v>2.1362830044410597</v>
      </c>
      <c r="C9" s="6">
        <f t="shared" si="1"/>
        <v>2.4028535275924998</v>
      </c>
      <c r="D9" s="7">
        <f t="shared" ca="1" si="2"/>
        <v>79218.313216294599</v>
      </c>
      <c r="E9" s="8">
        <f t="shared" si="3"/>
        <v>33.74452980552887</v>
      </c>
      <c r="F9" s="8">
        <f t="shared" si="4"/>
        <v>27.244529805468652</v>
      </c>
      <c r="G9" s="6">
        <f t="shared" ca="1" si="15"/>
        <v>6.5</v>
      </c>
      <c r="H9" s="6">
        <f t="shared" si="5"/>
        <v>6.5000000000602185</v>
      </c>
      <c r="I9" s="8">
        <f t="shared" ca="1" si="16"/>
        <v>-6.0218496855668491E-11</v>
      </c>
      <c r="J9" s="13">
        <f t="shared" ca="1" si="17"/>
        <v>-9.264384131641306E-12</v>
      </c>
      <c r="K9" s="54">
        <v>0.33579380483239829</v>
      </c>
      <c r="L9" s="13">
        <f t="shared" si="6"/>
        <v>1.2371162257652158E-2</v>
      </c>
      <c r="M9" s="17">
        <f t="shared" ca="1" si="18"/>
        <v>3.7225713603838723E-2</v>
      </c>
      <c r="N9" s="7">
        <f t="shared" ca="1" si="19"/>
        <v>3.7225713603838718E-4</v>
      </c>
      <c r="O9" s="9">
        <f t="shared" si="7"/>
        <v>0.71280476230750178</v>
      </c>
      <c r="P9" s="31">
        <f t="shared" ca="1" si="8"/>
        <v>0.76532726192186451</v>
      </c>
      <c r="Q9" s="9">
        <f t="shared" si="9"/>
        <v>7.0485437750095248E-2</v>
      </c>
      <c r="R9" s="40">
        <f t="shared" ca="1" si="10"/>
        <v>7.567910588029006E-2</v>
      </c>
      <c r="S9" s="31">
        <f t="shared" ca="1" si="11"/>
        <v>0.59434790259312609</v>
      </c>
      <c r="T9" s="6">
        <f t="shared" ca="1" si="12"/>
        <v>0.48806118017192307</v>
      </c>
      <c r="U9" s="9">
        <f t="shared" ca="1" si="13"/>
        <v>3.9044894413753847E-2</v>
      </c>
      <c r="V9" s="8">
        <f t="shared" ca="1" si="20"/>
        <v>2055.9102508190572</v>
      </c>
      <c r="W9" s="60">
        <f t="shared" ca="1" si="14"/>
        <v>7690.1023255814016</v>
      </c>
      <c r="X9" s="18" t="str">
        <f t="shared" ca="1" si="21"/>
        <v>Good</v>
      </c>
      <c r="Y9" s="33" t="s">
        <v>85</v>
      </c>
    </row>
    <row r="10" spans="1:25" x14ac:dyDescent="0.25">
      <c r="A10" s="18">
        <v>0.09</v>
      </c>
      <c r="B10" s="6">
        <f t="shared" si="0"/>
        <v>2.4033183799961919</v>
      </c>
      <c r="C10" s="6">
        <f t="shared" si="1"/>
        <v>2.6430927406406912</v>
      </c>
      <c r="D10" s="7">
        <f t="shared" ca="1" si="2"/>
        <v>87138.623383995873</v>
      </c>
      <c r="E10" s="8">
        <f t="shared" si="3"/>
        <v>31.093592997442876</v>
      </c>
      <c r="F10" s="8">
        <f t="shared" si="4"/>
        <v>24.593592997396929</v>
      </c>
      <c r="G10" s="6">
        <f t="shared" ca="1" si="15"/>
        <v>6.5</v>
      </c>
      <c r="H10" s="6">
        <f t="shared" si="5"/>
        <v>6.5000000000459472</v>
      </c>
      <c r="I10" s="8">
        <f t="shared" ca="1" si="16"/>
        <v>-4.5947246007926879E-11</v>
      </c>
      <c r="J10" s="13">
        <f t="shared" ca="1" si="17"/>
        <v>-7.0688070781425964E-12</v>
      </c>
      <c r="K10" s="54">
        <v>0.34103713331445135</v>
      </c>
      <c r="L10" s="13">
        <f t="shared" si="6"/>
        <v>-3.0503921013274168E-3</v>
      </c>
      <c r="M10" s="17">
        <f t="shared" ca="1" si="18"/>
        <v>3.3455382928734921E-2</v>
      </c>
      <c r="N10" s="7">
        <f t="shared" ca="1" si="19"/>
        <v>3.3455382928734915E-4</v>
      </c>
      <c r="O10" s="9">
        <f t="shared" si="7"/>
        <v>0.71280476230593681</v>
      </c>
      <c r="P10" s="31">
        <f t="shared" ca="1" si="8"/>
        <v>0.83222424691510422</v>
      </c>
      <c r="Q10" s="9">
        <f t="shared" si="9"/>
        <v>7.0485437749961383E-2</v>
      </c>
      <c r="R10" s="40">
        <f t="shared" ca="1" si="10"/>
        <v>8.2294189730407918E-2</v>
      </c>
      <c r="S10" s="31">
        <f t="shared" ca="1" si="11"/>
        <v>0.67015448305248593</v>
      </c>
      <c r="T10" s="6">
        <f t="shared" ca="1" si="12"/>
        <v>0.50026243079153165</v>
      </c>
      <c r="U10" s="9">
        <f t="shared" ca="1" si="13"/>
        <v>4.5023618771237846E-2</v>
      </c>
      <c r="V10" s="8">
        <f t="shared" ca="1" si="20"/>
        <v>2487.5645533272454</v>
      </c>
      <c r="W10" s="60">
        <f t="shared" ca="1" si="14"/>
        <v>8241.1065420560808</v>
      </c>
      <c r="X10" s="18" t="str">
        <f t="shared" ca="1" si="21"/>
        <v>Good</v>
      </c>
      <c r="Y10" s="33" t="s">
        <v>86</v>
      </c>
    </row>
    <row r="11" spans="1:25" x14ac:dyDescent="0.25">
      <c r="A11" s="18">
        <v>0.1</v>
      </c>
      <c r="B11" s="6">
        <f t="shared" si="0"/>
        <v>2.6703537555513246</v>
      </c>
      <c r="C11" s="6">
        <f t="shared" si="1"/>
        <v>2.8880424477121287</v>
      </c>
      <c r="D11" s="7">
        <f t="shared" ca="1" si="2"/>
        <v>95214.231153757341</v>
      </c>
      <c r="E11" s="8">
        <f t="shared" si="3"/>
        <v>28.888253870350841</v>
      </c>
      <c r="F11" s="8">
        <f t="shared" si="4"/>
        <v>22.388253870314145</v>
      </c>
      <c r="G11" s="6">
        <f t="shared" ca="1" si="15"/>
        <v>6.5</v>
      </c>
      <c r="H11" s="6">
        <f t="shared" si="5"/>
        <v>6.500000000036696</v>
      </c>
      <c r="I11" s="8">
        <f t="shared" ca="1" si="16"/>
        <v>-3.6695979588330374E-11</v>
      </c>
      <c r="J11" s="13">
        <f t="shared" ca="1" si="17"/>
        <v>-5.6455353212815961E-12</v>
      </c>
      <c r="K11" s="54">
        <v>0.34668241843010372</v>
      </c>
      <c r="L11" s="13">
        <f t="shared" si="6"/>
        <v>-1.965417185324617E-2</v>
      </c>
      <c r="M11" s="17">
        <f t="shared" ca="1" si="18"/>
        <v>2.8274959225792096E-2</v>
      </c>
      <c r="N11" s="7">
        <f t="shared" ca="1" si="19"/>
        <v>2.8274959225792093E-4</v>
      </c>
      <c r="O11" s="9">
        <f t="shared" si="7"/>
        <v>0.71280476230492229</v>
      </c>
      <c r="P11" s="31">
        <f t="shared" ca="1" si="8"/>
        <v>0.83976677390881338</v>
      </c>
      <c r="Q11" s="9">
        <f t="shared" si="9"/>
        <v>7.0485437749874605E-2</v>
      </c>
      <c r="R11" s="40">
        <f t="shared" ca="1" si="10"/>
        <v>8.3040029748625524E-2</v>
      </c>
      <c r="S11" s="31">
        <f t="shared" ca="1" si="11"/>
        <v>0.69515232888732637</v>
      </c>
      <c r="T11" s="6">
        <f t="shared" ca="1" si="12"/>
        <v>0.47840058606192692</v>
      </c>
      <c r="U11" s="9">
        <f t="shared" ca="1" si="13"/>
        <v>4.7840058606192698E-2</v>
      </c>
      <c r="V11" s="8">
        <f t="shared" ca="1" si="20"/>
        <v>2970.001714954863</v>
      </c>
      <c r="W11" s="60">
        <f t="shared" ca="1" si="14"/>
        <v>8817.9840000000058</v>
      </c>
      <c r="X11" s="18" t="str">
        <f t="shared" ca="1" si="21"/>
        <v>Good</v>
      </c>
      <c r="Y11" s="33" t="s">
        <v>87</v>
      </c>
    </row>
    <row r="12" spans="1:25" x14ac:dyDescent="0.25">
      <c r="A12" s="18">
        <v>0.11</v>
      </c>
      <c r="B12" s="6">
        <f t="shared" si="0"/>
        <v>2.9373891311064568</v>
      </c>
      <c r="C12" s="6">
        <f t="shared" si="1"/>
        <v>3.1365992583596563</v>
      </c>
      <c r="D12" s="7">
        <f t="shared" ca="1" si="2"/>
        <v>103408.75947261305</v>
      </c>
      <c r="E12" s="8">
        <f t="shared" si="3"/>
        <v>26.530031666062751</v>
      </c>
      <c r="F12" s="8">
        <f t="shared" si="4"/>
        <v>20.530031663250359</v>
      </c>
      <c r="G12" s="6">
        <f t="shared" ca="1" si="15"/>
        <v>6</v>
      </c>
      <c r="H12" s="6">
        <f t="shared" si="5"/>
        <v>6.0000000028123921</v>
      </c>
      <c r="I12" s="8">
        <f t="shared" ca="1" si="16"/>
        <v>-2.8123920969846949E-9</v>
      </c>
      <c r="J12" s="13">
        <f t="shared" ca="1" si="17"/>
        <v>-4.6873201616411586E-10</v>
      </c>
      <c r="K12" s="54">
        <v>0.34504730927375604</v>
      </c>
      <c r="L12" s="13">
        <f t="shared" si="6"/>
        <v>-1.4845027275752992E-2</v>
      </c>
      <c r="M12" s="17">
        <f t="shared" ca="1" si="18"/>
        <v>2.0649110640673519E-2</v>
      </c>
      <c r="N12" s="7">
        <f t="shared" ca="1" si="19"/>
        <v>2.0649110640673517E-4</v>
      </c>
      <c r="O12" s="9">
        <f t="shared" si="7"/>
        <v>0.6579736270477039</v>
      </c>
      <c r="P12" s="31">
        <f t="shared" ca="1" si="8"/>
        <v>0.66773919925740599</v>
      </c>
      <c r="Q12" s="9">
        <f t="shared" si="9"/>
        <v>6.5975757633418661E-2</v>
      </c>
      <c r="R12" s="40">
        <f t="shared" ca="1" si="10"/>
        <v>6.6954962572300256E-2</v>
      </c>
      <c r="S12" s="31">
        <f t="shared" ca="1" si="11"/>
        <v>0.56751994318091936</v>
      </c>
      <c r="T12" s="6">
        <f t="shared" ca="1" si="12"/>
        <v>0.35816158271080079</v>
      </c>
      <c r="U12" s="9">
        <f t="shared" ca="1" si="13"/>
        <v>3.9397774098188086E-2</v>
      </c>
      <c r="V12" s="8">
        <f t="shared" ca="1" si="20"/>
        <v>3233.7431421483543</v>
      </c>
      <c r="W12" s="60">
        <f t="shared" ca="1" si="14"/>
        <v>9414.2177935943109</v>
      </c>
      <c r="X12" s="18" t="str">
        <f t="shared" ca="1" si="21"/>
        <v>Good</v>
      </c>
      <c r="Y12" s="33" t="s">
        <v>88</v>
      </c>
    </row>
    <row r="13" spans="1:25" x14ac:dyDescent="0.25">
      <c r="A13" s="18">
        <v>0.12</v>
      </c>
      <c r="B13" s="6">
        <f t="shared" si="0"/>
        <v>3.2044245066615891</v>
      </c>
      <c r="C13" s="6">
        <f t="shared" si="1"/>
        <v>3.3879693651055005</v>
      </c>
      <c r="D13" s="7">
        <f t="shared" ca="1" si="2"/>
        <v>111696.03775268253</v>
      </c>
      <c r="E13" s="8">
        <f t="shared" si="3"/>
        <v>24.946083644279149</v>
      </c>
      <c r="F13" s="8">
        <f t="shared" si="4"/>
        <v>18.946083642075969</v>
      </c>
      <c r="G13" s="6">
        <f t="shared" ca="1" si="15"/>
        <v>6</v>
      </c>
      <c r="H13" s="6">
        <f t="shared" si="5"/>
        <v>6.0000000022031799</v>
      </c>
      <c r="I13" s="8">
        <f t="shared" ca="1" si="16"/>
        <v>-2.2031798607713426E-9</v>
      </c>
      <c r="J13" s="13">
        <f t="shared" ca="1" si="17"/>
        <v>-3.6719664346189046E-10</v>
      </c>
      <c r="K13" s="54">
        <v>0.35072428093376296</v>
      </c>
      <c r="L13" s="13">
        <f t="shared" si="6"/>
        <v>-3.1542002746361555E-2</v>
      </c>
      <c r="M13" s="17">
        <f t="shared" ca="1" si="18"/>
        <v>0</v>
      </c>
      <c r="N13" s="7">
        <f t="shared" ca="1" si="19"/>
        <v>0</v>
      </c>
      <c r="O13" s="9">
        <f t="shared" si="7"/>
        <v>0.65797362698089623</v>
      </c>
      <c r="P13" s="44">
        <f t="shared" ca="1" si="8"/>
        <v>0</v>
      </c>
      <c r="Q13" s="45">
        <f t="shared" si="9"/>
        <v>6.5975757628143727E-2</v>
      </c>
      <c r="R13" s="44">
        <f t="shared" ca="1" si="10"/>
        <v>0</v>
      </c>
      <c r="S13" s="44">
        <f t="shared" ca="1" si="11"/>
        <v>0</v>
      </c>
      <c r="T13" s="6">
        <f t="shared" ca="1" si="12"/>
        <v>0</v>
      </c>
      <c r="U13" s="9">
        <f t="shared" ca="1" si="13"/>
        <v>0</v>
      </c>
      <c r="V13" s="8" t="e">
        <f t="shared" ca="1" si="20"/>
        <v>#DIV/0!</v>
      </c>
      <c r="W13" s="60">
        <f t="shared" ca="1" si="14"/>
        <v>10020.436363636367</v>
      </c>
      <c r="X13" s="18" t="e">
        <f t="shared" ca="1" si="21"/>
        <v>#DIV/0!</v>
      </c>
    </row>
    <row r="14" spans="1:25" x14ac:dyDescent="0.25">
      <c r="B14" s="6"/>
      <c r="C14" s="6"/>
      <c r="D14" s="7"/>
      <c r="E14" s="8"/>
      <c r="F14" s="8"/>
      <c r="G14" s="8"/>
      <c r="H14" s="8"/>
      <c r="I14" s="8"/>
      <c r="J14" s="8"/>
      <c r="N14" s="11">
        <f ca="1">SUM(N3:N13)</f>
        <v>3.7551872341790686E-3</v>
      </c>
      <c r="P14" s="12">
        <f ca="1">SUM(P3:P13)</f>
        <v>5.7245481817342609</v>
      </c>
      <c r="R14" s="12">
        <f ca="1">SUM(R3:R13)</f>
        <v>0.56659427493343772</v>
      </c>
      <c r="S14" s="12">
        <f ca="1">SUM(S3:S13)</f>
        <v>4.0757728766875667</v>
      </c>
      <c r="T14" s="12">
        <f ca="1">SUM(T3:T13)</f>
        <v>3.8965670136947481</v>
      </c>
      <c r="U14" s="12">
        <f ca="1">SUM(U3:U13)</f>
        <v>0.27200159481992076</v>
      </c>
      <c r="Y14" s="1"/>
    </row>
    <row r="15" spans="1:25" x14ac:dyDescent="0.25">
      <c r="B15" s="6"/>
      <c r="C15" s="6"/>
      <c r="D15" s="7"/>
      <c r="E15" s="8"/>
      <c r="F15" s="8"/>
      <c r="G15" s="8"/>
      <c r="H15" s="8"/>
      <c r="K15" s="11"/>
      <c r="M15" s="12"/>
      <c r="N15" s="6"/>
      <c r="O15" s="12"/>
      <c r="P15" s="12"/>
      <c r="Q15" s="9"/>
      <c r="R15" s="12"/>
      <c r="S15" s="12"/>
    </row>
    <row r="16" spans="1:25" x14ac:dyDescent="0.25">
      <c r="A16" s="84" t="s">
        <v>1</v>
      </c>
      <c r="B16" s="84"/>
      <c r="C16" s="84"/>
      <c r="D16" s="7"/>
      <c r="E16" s="82" t="s">
        <v>30</v>
      </c>
      <c r="F16" s="83"/>
      <c r="G16" s="8"/>
      <c r="H16" s="25" t="s">
        <v>26</v>
      </c>
      <c r="I16" s="25" t="s">
        <v>53</v>
      </c>
      <c r="J16" s="25" t="s">
        <v>27</v>
      </c>
      <c r="K16" s="25" t="s">
        <v>28</v>
      </c>
      <c r="L16" s="25" t="s">
        <v>29</v>
      </c>
      <c r="M16" s="26" t="s">
        <v>31</v>
      </c>
      <c r="O16" s="85" t="s">
        <v>77</v>
      </c>
      <c r="P16" s="85"/>
      <c r="Q16" s="85"/>
      <c r="R16" s="38" t="s">
        <v>10</v>
      </c>
      <c r="S16" s="9"/>
      <c r="T16" s="32" t="s">
        <v>82</v>
      </c>
      <c r="U16" s="48" t="s">
        <v>107</v>
      </c>
      <c r="V16" s="16"/>
    </row>
    <row r="17" spans="1:25" x14ac:dyDescent="0.25">
      <c r="A17" s="20" t="s">
        <v>8</v>
      </c>
      <c r="B17" s="20">
        <f ca="1">0.01*VLOOKUP(LEFT($O$35,SEARCH("-",$O$35)-1),'Summary+ellip'!$A$2:$C$6,3,0)</f>
        <v>0.12</v>
      </c>
      <c r="C17" s="20" t="s">
        <v>9</v>
      </c>
      <c r="D17" s="7"/>
      <c r="E17" s="10" t="s">
        <v>31</v>
      </c>
      <c r="F17" s="10" t="s">
        <v>32</v>
      </c>
      <c r="G17" s="8"/>
      <c r="H17" s="10">
        <v>0.5</v>
      </c>
      <c r="I17" s="10">
        <v>999.1</v>
      </c>
      <c r="J17" s="23">
        <v>1.1379999999999999E-3</v>
      </c>
      <c r="K17" s="23">
        <f>J17/I17</f>
        <v>1.1390251226103492E-6</v>
      </c>
      <c r="L17" s="34">
        <f ca="1">B23</f>
        <v>3.7551872341790693E-2</v>
      </c>
      <c r="M17" s="14">
        <f ca="1">H17*L17/K17</f>
        <v>16484.21601787482</v>
      </c>
      <c r="O17" s="10" t="s">
        <v>65</v>
      </c>
      <c r="P17" s="20" t="s">
        <v>64</v>
      </c>
      <c r="Q17" s="20" t="s">
        <v>66</v>
      </c>
      <c r="R17" s="20" t="s">
        <v>78</v>
      </c>
      <c r="T17" s="35">
        <f ca="1">S14*B18</f>
        <v>4.4833501643563238</v>
      </c>
      <c r="U17" s="49">
        <f ca="1">B26</f>
        <v>1.0610365670430058</v>
      </c>
      <c r="V17" s="57"/>
    </row>
    <row r="18" spans="1:25" x14ac:dyDescent="0.25">
      <c r="A18" s="20" t="s">
        <v>13</v>
      </c>
      <c r="B18" s="20">
        <v>1.1000000000000001</v>
      </c>
      <c r="C18" s="20" t="s">
        <v>14</v>
      </c>
      <c r="E18" s="14">
        <v>25000</v>
      </c>
      <c r="F18" s="63">
        <f ca="1">IF(RIGHT($A$1,4)*1=2411,VLOOKUP(E18,AofAs!$B$5:$D$10,3,0),VLOOKUP(E18,AofAs!$B$13:$D$18,3,0))</f>
        <v>7</v>
      </c>
      <c r="H18" s="10">
        <v>3</v>
      </c>
      <c r="I18" s="10">
        <v>999.1</v>
      </c>
      <c r="J18" s="23">
        <v>1.1379999999999999E-3</v>
      </c>
      <c r="K18" s="23">
        <f>J18/I18</f>
        <v>1.1390251226103492E-6</v>
      </c>
      <c r="L18" s="34">
        <f ca="1">L17</f>
        <v>3.7551872341790693E-2</v>
      </c>
      <c r="M18" s="14">
        <f ca="1">H18*L18/K18</f>
        <v>98905.296107248912</v>
      </c>
      <c r="O18" s="20">
        <v>2</v>
      </c>
      <c r="P18" s="21">
        <f ca="1">SQRT(($P$33-(O18*2-$P$34)^2)/$P$31)</f>
        <v>2.6457513110645907</v>
      </c>
      <c r="Q18" s="21">
        <f ca="1">-SQRT(($P$33-(O18*2-$P$34)^2)/$P$32)</f>
        <v>-1.6733200530681511</v>
      </c>
      <c r="R18" s="34">
        <f ca="1">(P18-Q18)*0.01</f>
        <v>4.319071364132742E-2</v>
      </c>
      <c r="T18" s="32" t="s">
        <v>83</v>
      </c>
      <c r="U18" s="48" t="s">
        <v>108</v>
      </c>
      <c r="V18" s="16"/>
      <c r="W18" s="6"/>
      <c r="X18" s="9"/>
      <c r="Y18" s="8"/>
    </row>
    <row r="19" spans="1:25" x14ac:dyDescent="0.25">
      <c r="A19" s="20" t="s">
        <v>15</v>
      </c>
      <c r="B19" s="4">
        <v>4.25</v>
      </c>
      <c r="C19" s="20" t="s">
        <v>16</v>
      </c>
      <c r="E19" s="14">
        <v>50000</v>
      </c>
      <c r="F19" s="63">
        <f ca="1">IF(RIGHT($A$1,4)*1=2411,VLOOKUP(E19,AofAs!$B$5:$D$10,3,0),VLOOKUP(E19,AofAs!$B$13:$D$18,3,0))</f>
        <v>6.5</v>
      </c>
      <c r="H19" s="8"/>
      <c r="O19" s="10">
        <v>3</v>
      </c>
      <c r="P19" s="21">
        <f t="shared" ref="P19:P28" ca="1" si="22">SQRT(($P$33-(O19*2-$P$34)^2)/$P$31)</f>
        <v>2.6832815729997477</v>
      </c>
      <c r="Q19" s="21">
        <f t="shared" ref="Q19:Q28" ca="1" si="23">-SQRT(($P$33-(O19*2-$P$34)^2)/$P$32)</f>
        <v>-1.697056274847714</v>
      </c>
      <c r="R19" s="34">
        <f t="shared" ref="R19:R28" ca="1" si="24">(P19-Q19)*0.01</f>
        <v>4.3803378478474618E-2</v>
      </c>
      <c r="T19" s="36">
        <f ca="1">U14*B20</f>
        <v>7.26340480243325</v>
      </c>
      <c r="U19" s="49">
        <f>B25</f>
        <v>0.33953170145376182</v>
      </c>
      <c r="V19" s="57"/>
    </row>
    <row r="20" spans="1:25" x14ac:dyDescent="0.25">
      <c r="A20" s="20" t="s">
        <v>17</v>
      </c>
      <c r="B20" s="21">
        <f>2*PI()*B19</f>
        <v>26.703537555513243</v>
      </c>
      <c r="C20" s="20" t="s">
        <v>18</v>
      </c>
      <c r="E20" s="14">
        <v>100000</v>
      </c>
      <c r="F20" s="63">
        <f ca="1">IF(RIGHT($A$1,4)*1=2411,VLOOKUP(E20,AofAs!$B$5:$D$10,3,0),VLOOKUP(E20,AofAs!$B$13:$D$18,3,0))</f>
        <v>6</v>
      </c>
      <c r="H20" s="8"/>
      <c r="O20" s="10">
        <v>4</v>
      </c>
      <c r="P20" s="21">
        <f t="shared" ca="1" si="22"/>
        <v>2.6832815729997477</v>
      </c>
      <c r="Q20" s="21">
        <f t="shared" ca="1" si="23"/>
        <v>-1.697056274847714</v>
      </c>
      <c r="R20" s="34">
        <f t="shared" ca="1" si="24"/>
        <v>4.3803378478474618E-2</v>
      </c>
      <c r="T20" s="32" t="s">
        <v>84</v>
      </c>
      <c r="W20" s="13"/>
    </row>
    <row r="21" spans="1:25" x14ac:dyDescent="0.25">
      <c r="A21" s="20" t="s">
        <v>19</v>
      </c>
      <c r="B21" s="21">
        <v>0.04</v>
      </c>
      <c r="C21" s="20" t="s">
        <v>9</v>
      </c>
      <c r="D21" s="7"/>
      <c r="E21" s="14">
        <v>200000</v>
      </c>
      <c r="F21" s="63">
        <f ca="1">IF(RIGHT($A$1,4)*1=2411,VLOOKUP(E21,AofAs!$B$5:$D$10,3,0),VLOOKUP(E21,AofAs!$B$13:$D$18,3,0))</f>
        <v>5.5</v>
      </c>
      <c r="G21" s="8"/>
      <c r="H21" s="55" t="s">
        <v>125</v>
      </c>
      <c r="I21" s="14">
        <f>Pressure!$D$4</f>
        <v>3500000000</v>
      </c>
      <c r="J21" s="10" t="s">
        <v>126</v>
      </c>
      <c r="O21" s="10">
        <v>5</v>
      </c>
      <c r="P21" s="21">
        <f t="shared" ca="1" si="22"/>
        <v>2.6457513110645907</v>
      </c>
      <c r="Q21" s="21">
        <f t="shared" ca="1" si="23"/>
        <v>-1.6733200530681511</v>
      </c>
      <c r="R21" s="34">
        <f t="shared" ca="1" si="24"/>
        <v>4.319071364132742E-2</v>
      </c>
      <c r="T21" s="37">
        <f ca="1">T17/T19</f>
        <v>0.61725186552378242</v>
      </c>
    </row>
    <row r="22" spans="1:25" x14ac:dyDescent="0.25">
      <c r="A22" s="20" t="s">
        <v>20</v>
      </c>
      <c r="B22" s="20">
        <f ca="1">2*(B17+B21)</f>
        <v>0.32</v>
      </c>
      <c r="C22" s="20" t="s">
        <v>9</v>
      </c>
      <c r="D22" s="7"/>
      <c r="E22" s="14">
        <v>500000</v>
      </c>
      <c r="F22" s="63">
        <f ca="1">IF(RIGHT($A$1,4)*1=2411,VLOOKUP(E22,AofAs!$B$5:$D$10,3,0),VLOOKUP(E22,AofAs!$B$13:$D$18,3,0))</f>
        <v>5</v>
      </c>
      <c r="G22" s="8"/>
      <c r="H22" s="55" t="s">
        <v>127</v>
      </c>
      <c r="I22" s="14">
        <f ca="1">VLOOKUP(O35,Pressure!$F$2:$M$11,6,0)</f>
        <v>5.2488000000000005E-10</v>
      </c>
      <c r="J22" s="10" t="s">
        <v>128</v>
      </c>
      <c r="O22" s="10">
        <v>6</v>
      </c>
      <c r="P22" s="21">
        <f t="shared" ca="1" si="22"/>
        <v>2.5690465157330258</v>
      </c>
      <c r="Q22" s="21">
        <f t="shared" ca="1" si="23"/>
        <v>-1.6248076809271921</v>
      </c>
      <c r="R22" s="34">
        <f t="shared" ca="1" si="24"/>
        <v>4.1938541966602176E-2</v>
      </c>
      <c r="T22" s="32" t="s">
        <v>92</v>
      </c>
    </row>
    <row r="23" spans="1:25" x14ac:dyDescent="0.25">
      <c r="A23" s="20" t="s">
        <v>21</v>
      </c>
      <c r="B23" s="43">
        <f ca="1">AVERAGE(M3:M12)</f>
        <v>3.7551872341790693E-2</v>
      </c>
      <c r="C23" s="20" t="s">
        <v>9</v>
      </c>
      <c r="D23" s="7"/>
      <c r="E23" s="14">
        <v>1000000</v>
      </c>
      <c r="F23" s="63">
        <f ca="1">IF(RIGHT($A$1,4)*1=2411,VLOOKUP(E23,AofAs!$B$5:$D$10,3,0),VLOOKUP(E23,AofAs!$B$13:$D$18,3,0))</f>
        <v>4</v>
      </c>
      <c r="G23" s="8"/>
      <c r="H23" s="55" t="s">
        <v>129</v>
      </c>
      <c r="I23" s="14">
        <f ca="1">VLOOKUP(O35,Pressure!$F$2:$M$11,7,0)</f>
        <v>6.0000000000000001E-3</v>
      </c>
      <c r="J23" s="10" t="s">
        <v>9</v>
      </c>
      <c r="O23" s="10">
        <v>7</v>
      </c>
      <c r="P23" s="21">
        <f t="shared" ca="1" si="22"/>
        <v>2.4494897427831779</v>
      </c>
      <c r="Q23" s="21">
        <f t="shared" ca="1" si="23"/>
        <v>-1.5491933384829668</v>
      </c>
      <c r="R23" s="34">
        <f t="shared" ca="1" si="24"/>
        <v>3.9986830812661446E-2</v>
      </c>
      <c r="T23" s="35">
        <f>O3/Q3</f>
        <v>10.186806551951214</v>
      </c>
    </row>
    <row r="24" spans="1:25" x14ac:dyDescent="0.25">
      <c r="A24" s="20" t="s">
        <v>57</v>
      </c>
      <c r="B24" s="4">
        <v>0.34</v>
      </c>
      <c r="C24" s="20" t="s">
        <v>9</v>
      </c>
      <c r="H24" s="55" t="s">
        <v>131</v>
      </c>
      <c r="I24" s="10">
        <f>A13-A3</f>
        <v>9.9999999999999992E-2</v>
      </c>
      <c r="J24" s="10" t="s">
        <v>9</v>
      </c>
      <c r="O24" s="10">
        <v>8</v>
      </c>
      <c r="P24" s="21">
        <f t="shared" ca="1" si="22"/>
        <v>2.2803508501982761</v>
      </c>
      <c r="Q24" s="21">
        <f t="shared" ca="1" si="23"/>
        <v>-1.4422205101855958</v>
      </c>
      <c r="R24" s="34">
        <f t="shared" ca="1" si="24"/>
        <v>3.7225713603838723E-2</v>
      </c>
    </row>
    <row r="25" spans="1:25" x14ac:dyDescent="0.25">
      <c r="A25" s="20" t="s">
        <v>52</v>
      </c>
      <c r="B25" s="22">
        <f>AVERAGE(K3:K13)</f>
        <v>0.33953170145376182</v>
      </c>
      <c r="C25" s="20" t="s">
        <v>9</v>
      </c>
      <c r="O25" s="10">
        <v>9</v>
      </c>
      <c r="P25" s="21">
        <f t="shared" ca="1" si="22"/>
        <v>2.0493901531919199</v>
      </c>
      <c r="Q25" s="21">
        <f t="shared" ca="1" si="23"/>
        <v>-1.2961481396815719</v>
      </c>
      <c r="R25" s="34">
        <f t="shared" ca="1" si="24"/>
        <v>3.3455382928734921E-2</v>
      </c>
    </row>
    <row r="26" spans="1:25" x14ac:dyDescent="0.25">
      <c r="A26" s="20" t="s">
        <v>23</v>
      </c>
      <c r="B26" s="21">
        <f ca="1">B25/B22</f>
        <v>1.0610365670430058</v>
      </c>
      <c r="C26" s="20"/>
      <c r="D26" s="18" t="s">
        <v>91</v>
      </c>
      <c r="O26" s="10">
        <v>10</v>
      </c>
      <c r="P26" s="21">
        <f t="shared" ca="1" si="22"/>
        <v>1.7320508075688772</v>
      </c>
      <c r="Q26" s="21">
        <f t="shared" ca="1" si="23"/>
        <v>-1.0954451150103321</v>
      </c>
      <c r="R26" s="34">
        <f t="shared" ca="1" si="24"/>
        <v>2.8274959225792096E-2</v>
      </c>
    </row>
    <row r="27" spans="1:25" x14ac:dyDescent="0.25">
      <c r="A27" s="20" t="s">
        <v>24</v>
      </c>
      <c r="B27" s="20">
        <v>0.06</v>
      </c>
      <c r="C27" s="10"/>
      <c r="O27" s="10">
        <v>11</v>
      </c>
      <c r="P27" s="21">
        <f t="shared" ca="1" si="22"/>
        <v>1.2649110640673518</v>
      </c>
      <c r="Q27" s="21">
        <f t="shared" ca="1" si="23"/>
        <v>-0.8</v>
      </c>
      <c r="R27" s="34">
        <f t="shared" ca="1" si="24"/>
        <v>2.0649110640673519E-2</v>
      </c>
    </row>
    <row r="28" spans="1:25" x14ac:dyDescent="0.25">
      <c r="A28" s="20" t="s">
        <v>25</v>
      </c>
      <c r="B28" s="20">
        <v>0.04</v>
      </c>
      <c r="C28" s="10"/>
      <c r="O28" s="10">
        <v>12</v>
      </c>
      <c r="P28" s="21">
        <f t="shared" ca="1" si="22"/>
        <v>0</v>
      </c>
      <c r="Q28" s="21">
        <f t="shared" ca="1" si="23"/>
        <v>0</v>
      </c>
      <c r="R28" s="34">
        <f t="shared" ca="1" si="24"/>
        <v>0</v>
      </c>
    </row>
    <row r="29" spans="1:25" x14ac:dyDescent="0.25">
      <c r="R29" s="30">
        <f ca="1">AVERAGE(R18:R28)</f>
        <v>3.4138065765264264E-2</v>
      </c>
      <c r="S29" s="2" t="s">
        <v>79</v>
      </c>
    </row>
    <row r="30" spans="1:25" x14ac:dyDescent="0.25">
      <c r="O30" s="18" t="s">
        <v>46</v>
      </c>
      <c r="P30" s="1">
        <f ca="1">VLOOKUP($O$35,'Summary+ellip'!$A$16:$F$20,2,0)</f>
        <v>1</v>
      </c>
    </row>
    <row r="31" spans="1:25" x14ac:dyDescent="0.25">
      <c r="O31" s="18" t="s">
        <v>49</v>
      </c>
      <c r="P31" s="1">
        <f ca="1">VLOOKUP($O$35,'Summary+ellip'!$A$16:$F$20,3,0)</f>
        <v>40</v>
      </c>
    </row>
    <row r="32" spans="1:25" x14ac:dyDescent="0.25">
      <c r="O32" s="18" t="s">
        <v>50</v>
      </c>
      <c r="P32" s="1">
        <f ca="1">VLOOKUP($O$35,'Summary+ellip'!$A$16:$F$20,4,0)</f>
        <v>100</v>
      </c>
    </row>
    <row r="33" spans="15:16" x14ac:dyDescent="0.25">
      <c r="O33" s="18" t="s">
        <v>47</v>
      </c>
      <c r="P33" s="1">
        <f ca="1">VLOOKUP($O$35,'Summary+ellip'!$A$16:$F$20,5,0)</f>
        <v>289</v>
      </c>
    </row>
    <row r="34" spans="15:16" x14ac:dyDescent="0.25">
      <c r="O34" s="18" t="s">
        <v>67</v>
      </c>
      <c r="P34" s="1">
        <f ca="1">VLOOKUP($O$35,'Summary+ellip'!$A$16:$F$20,6,0)</f>
        <v>7</v>
      </c>
    </row>
    <row r="35" spans="15:16" x14ac:dyDescent="0.25">
      <c r="O35" s="18" t="str">
        <f ca="1">TEXT(REPLACE(CELL("filename",O35),1,SEARCH("]",CELL("filename",O35)),""),"mmmm yyyy")</f>
        <v>Isaac-half</v>
      </c>
    </row>
  </sheetData>
  <mergeCells count="6">
    <mergeCell ref="C1:H1"/>
    <mergeCell ref="A16:C16"/>
    <mergeCell ref="E16:F16"/>
    <mergeCell ref="O16:Q16"/>
    <mergeCell ref="N1:X1"/>
    <mergeCell ref="L1:L2"/>
  </mergeCells>
  <conditionalFormatting sqref="H19:H20 H15 J14">
    <cfRule type="cellIs" dxfId="11" priority="3" operator="greaterThan">
      <formula>0</formula>
    </cfRule>
  </conditionalFormatting>
  <conditionalFormatting sqref="U17">
    <cfRule type="cellIs" dxfId="10" priority="1" operator="greaterThan">
      <formula>1.1</formula>
    </cfRule>
    <cfRule type="cellIs" dxfId="9" priority="2" operator="lessThan">
      <formula>0.8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1"/>
  <sheetViews>
    <sheetView zoomScale="83" zoomScaleNormal="83" workbookViewId="0">
      <selection activeCell="A3" sqref="A3:A11"/>
    </sheetView>
  </sheetViews>
  <sheetFormatPr defaultRowHeight="15" x14ac:dyDescent="0.25"/>
  <cols>
    <col min="1" max="1" width="11.28515625" style="18" bestFit="1" customWidth="1"/>
    <col min="2" max="2" width="6.85546875" style="18" customWidth="1"/>
    <col min="3" max="3" width="9.140625" style="18"/>
    <col min="4" max="4" width="9.7109375" style="18" customWidth="1"/>
    <col min="5" max="5" width="9.85546875" style="18" customWidth="1"/>
    <col min="6" max="6" width="10.140625" style="18" customWidth="1"/>
    <col min="7" max="7" width="7" style="18" customWidth="1"/>
    <col min="8" max="8" width="7" style="18" bestFit="1" customWidth="1"/>
    <col min="9" max="9" width="8.85546875" style="18" bestFit="1" customWidth="1"/>
    <col min="10" max="12" width="9.5703125" style="18" bestFit="1" customWidth="1"/>
    <col min="13" max="13" width="14.42578125" style="18" bestFit="1" customWidth="1"/>
    <col min="14" max="14" width="15.140625" style="18" bestFit="1" customWidth="1"/>
    <col min="15" max="15" width="6.85546875" style="18" customWidth="1"/>
    <col min="16" max="16" width="8.28515625" style="1" customWidth="1"/>
    <col min="17" max="17" width="6.7109375" style="18" customWidth="1"/>
    <col min="18" max="18" width="11.85546875" style="18" bestFit="1" customWidth="1"/>
    <col min="19" max="19" width="12.28515625" style="18" customWidth="1"/>
    <col min="20" max="20" width="12.7109375" style="18" customWidth="1"/>
    <col min="21" max="21" width="11.7109375" style="18" customWidth="1"/>
    <col min="22" max="24" width="9.140625" style="18"/>
    <col min="25" max="25" width="12.7109375" style="18" bestFit="1" customWidth="1"/>
    <col min="26" max="16384" width="9.140625" style="18"/>
  </cols>
  <sheetData>
    <row r="1" spans="1:25" x14ac:dyDescent="0.25">
      <c r="A1" s="24" t="str">
        <f ca="1">CONCATENATE("NACA "&amp;VLOOKUP(LEFT($O$31,SEARCH("-",$O$31)-1),'Summary+ellip'!$A$2:$F$6,6,0))</f>
        <v>NACA 2411</v>
      </c>
      <c r="B1" s="81" t="s">
        <v>0</v>
      </c>
      <c r="C1" s="81"/>
      <c r="D1" s="81"/>
      <c r="E1" s="81"/>
      <c r="F1" s="81"/>
      <c r="G1" s="62"/>
      <c r="J1" s="78"/>
      <c r="L1" s="87" t="s">
        <v>152</v>
      </c>
      <c r="M1" s="18" t="s">
        <v>89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5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56</v>
      </c>
      <c r="I2" s="2" t="s">
        <v>138</v>
      </c>
      <c r="J2" s="3" t="s">
        <v>6</v>
      </c>
      <c r="K2" s="39" t="s">
        <v>7</v>
      </c>
      <c r="L2" s="87"/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5" x14ac:dyDescent="0.25">
      <c r="A3" s="1">
        <v>0.02</v>
      </c>
      <c r="B3" s="6">
        <f t="shared" ref="B3:B11" si="0">A3*$B$18</f>
        <v>0.56548667764616278</v>
      </c>
      <c r="C3" s="6">
        <f t="shared" ref="C3:C11" si="1">SQRT(B3^2+$B$16^2)</f>
        <v>1.3265651821886835</v>
      </c>
      <c r="D3" s="7">
        <f t="shared" ref="D3:D11" ca="1" si="2">C3*$B$21/$K$15</f>
        <v>35127.645658826805</v>
      </c>
      <c r="E3" s="8">
        <f t="shared" ref="E3:E11" si="3">DEGREES(ATAN(K3/(2*PI()*A3)))</f>
        <v>71.768362715016451</v>
      </c>
      <c r="F3" s="8">
        <f t="shared" ref="F3:F11" si="4">DEGREES(ATAN($B$16/B3))</f>
        <v>64.768362799132177</v>
      </c>
      <c r="G3" s="6">
        <f ca="1">VLOOKUP(D3,$E$16:$F$21,2,1)</f>
        <v>7</v>
      </c>
      <c r="H3" s="8">
        <f t="shared" ref="H3:H11" si="5">E3-F3</f>
        <v>6.9999999158842741</v>
      </c>
      <c r="I3" s="8">
        <f ca="1">G3-H3</f>
        <v>8.4115725940137054E-8</v>
      </c>
      <c r="J3" s="13">
        <f ca="1">(G3-H3)/G3</f>
        <v>1.2016532277162436E-8</v>
      </c>
      <c r="K3" s="54">
        <v>0.38149823829325791</v>
      </c>
      <c r="L3" s="13">
        <f t="shared" ref="L3:L11" si="6">($B$22-K3)/$B$22</f>
        <v>-8.9994966552165517E-2</v>
      </c>
      <c r="M3" s="17">
        <f ca="1">R16</f>
        <v>3.3730961708462716E-2</v>
      </c>
      <c r="N3" s="7">
        <f ca="1">M3*($A$4-$A$3)</f>
        <v>3.373096170846271E-4</v>
      </c>
      <c r="O3" s="9">
        <f t="shared" ref="O3:O11" si="7">2*PI()*RADIANS(H3)</f>
        <v>0.76763588863818399</v>
      </c>
      <c r="P3" s="6">
        <f t="shared" ref="P3:P11" ca="1" si="8">0.5*O3*$I$15*C3^2*N3</f>
        <v>0.22762509831315489</v>
      </c>
      <c r="Q3" s="9">
        <f t="shared" ref="Q3:Q11" si="9">$B$25*O3^2+$B$26</f>
        <v>7.5355891451520066E-2</v>
      </c>
      <c r="R3" s="9">
        <f t="shared" ref="R3:R11" ca="1" si="10">0.5*Q3*$I$15*C3^2*N3</f>
        <v>2.2345088933449397E-2</v>
      </c>
      <c r="S3" s="6">
        <f t="shared" ref="S3:S11" ca="1" si="11">P3*COS(RADIANS(F3+H3))-R3*SIN(RADIANS(F3+H3))</f>
        <v>4.9991303546187318E-2</v>
      </c>
      <c r="T3" s="6">
        <f t="shared" ref="T3:T11" ca="1" si="12">R3*COS(RADIANS(F3+H3))+P3*SIN(RADIANS(F3+H3))</f>
        <v>0.22318906324296034</v>
      </c>
      <c r="U3" s="9">
        <f t="shared" ref="U3:U11" ca="1" si="13">T3*A3</f>
        <v>4.4637812648592066E-3</v>
      </c>
      <c r="V3" s="8">
        <f ca="1">P3/N3</f>
        <v>674.82540308373825</v>
      </c>
      <c r="W3" s="60">
        <f t="shared" ref="W3:W11" ca="1" si="14">24*$I$19*$I$20*$I$21/$I$22^3/(A3^2-4*$I$22*A3+6*$I$22^2)</f>
        <v>5032.4526186342573</v>
      </c>
      <c r="X3" s="18" t="str">
        <f ca="1">IF(V3&lt;W3,"Good","Change")</f>
        <v>Good</v>
      </c>
    </row>
    <row r="4" spans="1:25" x14ac:dyDescent="0.25">
      <c r="A4" s="18">
        <v>0.03</v>
      </c>
      <c r="B4" s="6">
        <f t="shared" si="0"/>
        <v>0.84823001646924412</v>
      </c>
      <c r="C4" s="6">
        <f t="shared" si="1"/>
        <v>1.4695217456163805</v>
      </c>
      <c r="D4" s="7">
        <f t="shared" ca="1" si="2"/>
        <v>38913.156971890567</v>
      </c>
      <c r="E4" s="8">
        <f t="shared" si="3"/>
        <v>61.745100910319316</v>
      </c>
      <c r="F4" s="8">
        <f t="shared" si="4"/>
        <v>54.745100913343656</v>
      </c>
      <c r="G4" s="6">
        <f t="shared" ref="G4:G11" ca="1" si="15">VLOOKUP(D4,$E$16:$F$21,2,1)</f>
        <v>7</v>
      </c>
      <c r="H4" s="8">
        <f t="shared" si="5"/>
        <v>6.9999999969756601</v>
      </c>
      <c r="I4" s="8">
        <f t="shared" ref="I4:I11" ca="1" si="16">G4-H4</f>
        <v>3.0243398896345752E-9</v>
      </c>
      <c r="J4" s="13">
        <f t="shared" ref="J4:J11" ca="1" si="17">(G4-H4)/G4</f>
        <v>4.3204855566208218E-10</v>
      </c>
      <c r="K4" s="54">
        <v>0.35073536447199816</v>
      </c>
      <c r="L4" s="13">
        <f t="shared" si="6"/>
        <v>-2.1010413485662255E-3</v>
      </c>
      <c r="M4" s="17">
        <f t="shared" ref="M4:M11" ca="1" si="18">R17</f>
        <v>3.4563950391508592E-2</v>
      </c>
      <c r="N4" s="7">
        <f t="shared" ref="N4:N11" ca="1" si="19">M4*($A$4-$A$3)</f>
        <v>3.4563950391508589E-4</v>
      </c>
      <c r="O4" s="9">
        <f t="shared" si="7"/>
        <v>0.7676358975308496</v>
      </c>
      <c r="P4" s="6">
        <f t="shared" ca="1" si="8"/>
        <v>0.28622637232627757</v>
      </c>
      <c r="Q4" s="9">
        <f t="shared" si="9"/>
        <v>7.535589227067957E-2</v>
      </c>
      <c r="R4" s="9">
        <f t="shared" ca="1" si="10"/>
        <v>2.8097752785433788E-2</v>
      </c>
      <c r="S4" s="6">
        <f t="shared" ca="1" si="11"/>
        <v>0.11074821663734412</v>
      </c>
      <c r="T4" s="6">
        <f t="shared" ca="1" si="12"/>
        <v>0.26542391082624811</v>
      </c>
      <c r="U4" s="9">
        <f t="shared" ca="1" si="13"/>
        <v>7.9627173247874428E-3</v>
      </c>
      <c r="V4" s="8">
        <f t="shared" ref="V4:V11" ca="1" si="20">P4/N4</f>
        <v>828.10665182703042</v>
      </c>
      <c r="W4" s="60">
        <f t="shared" ca="1" si="14"/>
        <v>5489.9483112373719</v>
      </c>
      <c r="X4" s="18" t="str">
        <f t="shared" ref="X4:X11" ca="1" si="21">IF(V4&lt;W4,"Good","Change")</f>
        <v>Good</v>
      </c>
    </row>
    <row r="5" spans="1:25" x14ac:dyDescent="0.25">
      <c r="A5" s="18">
        <v>0.04</v>
      </c>
      <c r="B5" s="6">
        <f t="shared" si="0"/>
        <v>1.1309733552923256</v>
      </c>
      <c r="C5" s="6">
        <f t="shared" si="1"/>
        <v>1.6489695965605857</v>
      </c>
      <c r="D5" s="7">
        <f t="shared" ca="1" si="2"/>
        <v>43664.963069956408</v>
      </c>
      <c r="E5" s="8">
        <f t="shared" si="3"/>
        <v>53.696192692481958</v>
      </c>
      <c r="F5" s="8">
        <f t="shared" si="4"/>
        <v>46.696192692829335</v>
      </c>
      <c r="G5" s="6">
        <f t="shared" ca="1" si="15"/>
        <v>7</v>
      </c>
      <c r="H5" s="8">
        <f t="shared" si="5"/>
        <v>6.9999999996526228</v>
      </c>
      <c r="I5" s="8">
        <f t="shared" ca="1" si="16"/>
        <v>3.4737723808575538E-10</v>
      </c>
      <c r="J5" s="13">
        <f t="shared" ca="1" si="17"/>
        <v>4.9625319726536481E-11</v>
      </c>
      <c r="K5" s="54">
        <v>0.34209316519275629</v>
      </c>
      <c r="L5" s="13">
        <f t="shared" si="6"/>
        <v>2.2590956592124831E-2</v>
      </c>
      <c r="M5" s="17">
        <f t="shared" ca="1" si="18"/>
        <v>3.4563950391508592E-2</v>
      </c>
      <c r="N5" s="7">
        <f t="shared" ca="1" si="19"/>
        <v>3.4563950391508589E-4</v>
      </c>
      <c r="O5" s="9">
        <f t="shared" si="7"/>
        <v>0.76763589782441144</v>
      </c>
      <c r="P5" s="6">
        <f t="shared" ca="1" si="8"/>
        <v>0.36039844536641175</v>
      </c>
      <c r="Q5" s="9">
        <f t="shared" si="9"/>
        <v>7.5355892297721411E-2</v>
      </c>
      <c r="R5" s="9">
        <f t="shared" ca="1" si="10"/>
        <v>3.5378942686588241E-2</v>
      </c>
      <c r="S5" s="6">
        <f t="shared" ca="1" si="11"/>
        <v>0.18486843091317751</v>
      </c>
      <c r="T5" s="6">
        <f t="shared" ca="1" si="12"/>
        <v>0.31138781649230768</v>
      </c>
      <c r="U5" s="9">
        <f t="shared" ca="1" si="13"/>
        <v>1.2455512659692308E-2</v>
      </c>
      <c r="V5" s="8">
        <f t="shared" ca="1" si="20"/>
        <v>1042.7003895218868</v>
      </c>
      <c r="W5" s="60">
        <f t="shared" ca="1" si="14"/>
        <v>5994.539148667277</v>
      </c>
      <c r="X5" s="18" t="str">
        <f t="shared" ca="1" si="21"/>
        <v>Good</v>
      </c>
    </row>
    <row r="6" spans="1:25" x14ac:dyDescent="0.25">
      <c r="A6" s="18">
        <v>0.05</v>
      </c>
      <c r="B6" s="6">
        <f t="shared" si="0"/>
        <v>1.4137166941154069</v>
      </c>
      <c r="C6" s="6">
        <f t="shared" si="1"/>
        <v>1.8543448684698849</v>
      </c>
      <c r="D6" s="7">
        <f t="shared" ca="1" si="2"/>
        <v>49103.331176989188</v>
      </c>
      <c r="E6" s="8">
        <f t="shared" si="3"/>
        <v>47.325475095654028</v>
      </c>
      <c r="F6" s="8">
        <f t="shared" si="4"/>
        <v>40.325475095727015</v>
      </c>
      <c r="G6" s="6">
        <f t="shared" ca="1" si="15"/>
        <v>7</v>
      </c>
      <c r="H6" s="8">
        <f t="shared" si="5"/>
        <v>6.9999999999270131</v>
      </c>
      <c r="I6" s="8">
        <f t="shared" ca="1" si="16"/>
        <v>7.2986949817277491E-11</v>
      </c>
      <c r="J6" s="13">
        <f t="shared" ca="1" si="17"/>
        <v>1.0426707116753927E-11</v>
      </c>
      <c r="K6" s="54">
        <v>0.34075500545433179</v>
      </c>
      <c r="L6" s="13">
        <f t="shared" si="6"/>
        <v>2.6414270130480526E-2</v>
      </c>
      <c r="M6" s="17">
        <f t="shared" ca="1" si="18"/>
        <v>3.3730961708462716E-2</v>
      </c>
      <c r="N6" s="7">
        <f t="shared" ca="1" si="19"/>
        <v>3.373096170846271E-4</v>
      </c>
      <c r="O6" s="9">
        <f t="shared" si="7"/>
        <v>0.7676358978545017</v>
      </c>
      <c r="P6" s="6">
        <f t="shared" ca="1" si="8"/>
        <v>0.44477869520592572</v>
      </c>
      <c r="Q6" s="9">
        <f t="shared" si="9"/>
        <v>7.5355892300493221E-2</v>
      </c>
      <c r="R6" s="9">
        <f t="shared" ca="1" si="10"/>
        <v>4.3662230423523546E-2</v>
      </c>
      <c r="S6" s="6">
        <f t="shared" ca="1" si="11"/>
        <v>0.26938443448300547</v>
      </c>
      <c r="T6" s="6">
        <f t="shared" ca="1" si="12"/>
        <v>0.35660412859768459</v>
      </c>
      <c r="U6" s="9">
        <f t="shared" ca="1" si="13"/>
        <v>1.783020642988423E-2</v>
      </c>
      <c r="V6" s="8">
        <f t="shared" ca="1" si="20"/>
        <v>1318.606623345506</v>
      </c>
      <c r="W6" s="60">
        <f t="shared" ca="1" si="14"/>
        <v>6548.2516001505992</v>
      </c>
      <c r="X6" s="18" t="str">
        <f t="shared" ca="1" si="21"/>
        <v>Good</v>
      </c>
    </row>
    <row r="7" spans="1:25" x14ac:dyDescent="0.25">
      <c r="A7" s="18">
        <v>0.06</v>
      </c>
      <c r="B7" s="6">
        <f t="shared" si="0"/>
        <v>1.6964600329384882</v>
      </c>
      <c r="C7" s="6">
        <f t="shared" si="1"/>
        <v>2.0779741681160662</v>
      </c>
      <c r="D7" s="7">
        <f t="shared" ca="1" si="2"/>
        <v>55025.068685538783</v>
      </c>
      <c r="E7" s="8">
        <f t="shared" si="3"/>
        <v>41.773881390583632</v>
      </c>
      <c r="F7" s="8">
        <f t="shared" si="4"/>
        <v>35.273881390585245</v>
      </c>
      <c r="G7" s="6">
        <f t="shared" ca="1" si="15"/>
        <v>6.5</v>
      </c>
      <c r="H7" s="8">
        <f t="shared" si="5"/>
        <v>6.4999999999983871</v>
      </c>
      <c r="I7" s="8">
        <f t="shared" ca="1" si="16"/>
        <v>1.6129320101754274E-12</v>
      </c>
      <c r="J7" s="13">
        <f t="shared" ca="1" si="17"/>
        <v>2.4814338618083496E-13</v>
      </c>
      <c r="K7" s="54">
        <v>0.33675985116984736</v>
      </c>
      <c r="L7" s="13">
        <f t="shared" si="6"/>
        <v>3.7828996657578919E-2</v>
      </c>
      <c r="M7" s="17">
        <f t="shared" ca="1" si="18"/>
        <v>3.2000000000000001E-2</v>
      </c>
      <c r="N7" s="7">
        <f t="shared" ca="1" si="19"/>
        <v>3.1999999999999997E-4</v>
      </c>
      <c r="O7" s="9">
        <f t="shared" si="7"/>
        <v>0.71280476230072121</v>
      </c>
      <c r="P7" s="31">
        <f t="shared" ca="1" si="8"/>
        <v>0.49201667648083541</v>
      </c>
      <c r="Q7" s="9">
        <f t="shared" si="9"/>
        <v>7.0485437749515267E-2</v>
      </c>
      <c r="R7" s="40">
        <f t="shared" ca="1" si="10"/>
        <v>4.8652888779638026E-2</v>
      </c>
      <c r="S7" s="31">
        <f t="shared" ca="1" si="11"/>
        <v>0.33452388820689621</v>
      </c>
      <c r="T7" s="6">
        <f t="shared" ca="1" si="12"/>
        <v>0.3640621948799283</v>
      </c>
      <c r="U7" s="9">
        <f t="shared" ca="1" si="13"/>
        <v>2.1843731692795697E-2</v>
      </c>
      <c r="V7" s="8">
        <f t="shared" ca="1" si="20"/>
        <v>1537.5521140026108</v>
      </c>
      <c r="W7" s="60">
        <f t="shared" ca="1" si="14"/>
        <v>7151.3800370065755</v>
      </c>
      <c r="X7" s="18" t="str">
        <f t="shared" ca="1" si="21"/>
        <v>Good</v>
      </c>
      <c r="Y7" s="33" t="s">
        <v>85</v>
      </c>
    </row>
    <row r="8" spans="1:25" x14ac:dyDescent="0.25">
      <c r="A8" s="18">
        <v>7.0000000000000007E-2</v>
      </c>
      <c r="B8" s="6">
        <f t="shared" si="0"/>
        <v>1.9792033717615698</v>
      </c>
      <c r="C8" s="6">
        <f t="shared" si="1"/>
        <v>2.3145725278747191</v>
      </c>
      <c r="D8" s="7">
        <f t="shared" ca="1" si="2"/>
        <v>61290.22885757732</v>
      </c>
      <c r="E8" s="8">
        <f t="shared" si="3"/>
        <v>37.728623688943053</v>
      </c>
      <c r="F8" s="8">
        <f t="shared" si="4"/>
        <v>31.228623688943674</v>
      </c>
      <c r="G8" s="6">
        <f t="shared" ca="1" si="15"/>
        <v>6.5</v>
      </c>
      <c r="H8" s="8">
        <f t="shared" si="5"/>
        <v>6.4999999999993783</v>
      </c>
      <c r="I8" s="8">
        <f t="shared" ca="1" si="16"/>
        <v>6.2172489379008766E-13</v>
      </c>
      <c r="J8" s="13">
        <f t="shared" ca="1" si="17"/>
        <v>9.5649983660013488E-14</v>
      </c>
      <c r="K8" s="54">
        <v>0.340284938140125</v>
      </c>
      <c r="L8" s="13">
        <f t="shared" si="6"/>
        <v>2.7757319599642786E-2</v>
      </c>
      <c r="M8" s="17">
        <f t="shared" ca="1" si="18"/>
        <v>2.9211869733608859E-2</v>
      </c>
      <c r="N8" s="7">
        <f t="shared" ca="1" si="19"/>
        <v>2.9211869733608857E-4</v>
      </c>
      <c r="O8" s="9">
        <f t="shared" si="7"/>
        <v>0.7128047623008299</v>
      </c>
      <c r="P8" s="31">
        <f t="shared" ca="1" si="8"/>
        <v>0.55725054175949518</v>
      </c>
      <c r="Q8" s="9">
        <f t="shared" si="9"/>
        <v>7.0485437749524552E-2</v>
      </c>
      <c r="R8" s="40">
        <f t="shared" ca="1" si="10"/>
        <v>5.5103515646127157E-2</v>
      </c>
      <c r="S8" s="31">
        <f t="shared" ca="1" si="11"/>
        <v>0.4070203776310416</v>
      </c>
      <c r="T8" s="6">
        <f t="shared" ca="1" si="12"/>
        <v>0.38457635902496407</v>
      </c>
      <c r="U8" s="9">
        <f t="shared" ca="1" si="13"/>
        <v>2.6920345131747486E-2</v>
      </c>
      <c r="V8" s="8">
        <f t="shared" ca="1" si="20"/>
        <v>1907.6168243978132</v>
      </c>
      <c r="W8" s="60">
        <f t="shared" ca="1" si="14"/>
        <v>7801.505494916265</v>
      </c>
      <c r="X8" s="18" t="str">
        <f t="shared" ca="1" si="21"/>
        <v>Good</v>
      </c>
      <c r="Y8" s="33" t="s">
        <v>86</v>
      </c>
    </row>
    <row r="9" spans="1:25" x14ac:dyDescent="0.25">
      <c r="A9" s="18">
        <v>0.08</v>
      </c>
      <c r="B9" s="6">
        <f t="shared" si="0"/>
        <v>2.2619467105846511</v>
      </c>
      <c r="C9" s="6">
        <f t="shared" si="1"/>
        <v>2.5605473870883007</v>
      </c>
      <c r="D9" s="7">
        <f t="shared" ca="1" si="2"/>
        <v>67803.680146249477</v>
      </c>
      <c r="E9" s="8">
        <f t="shared" si="3"/>
        <v>34.446687168768506</v>
      </c>
      <c r="F9" s="8">
        <f t="shared" si="4"/>
        <v>27.94668724547887</v>
      </c>
      <c r="G9" s="6">
        <f t="shared" ca="1" si="15"/>
        <v>6.5</v>
      </c>
      <c r="H9" s="8">
        <f t="shared" si="5"/>
        <v>6.4999999232896357</v>
      </c>
      <c r="I9" s="8">
        <f t="shared" ca="1" si="16"/>
        <v>7.6710364282916998E-8</v>
      </c>
      <c r="J9" s="13">
        <f t="shared" ca="1" si="17"/>
        <v>1.1801594505064154E-8</v>
      </c>
      <c r="K9" s="54">
        <v>0.3447768907059654</v>
      </c>
      <c r="L9" s="13">
        <f t="shared" si="6"/>
        <v>1.4923169411527366E-2</v>
      </c>
      <c r="M9" s="17">
        <f t="shared" ca="1" si="18"/>
        <v>2.5015550719058297E-2</v>
      </c>
      <c r="N9" s="7">
        <f t="shared" ca="1" si="19"/>
        <v>2.5015550719058294E-4</v>
      </c>
      <c r="O9" s="9">
        <f t="shared" si="7"/>
        <v>0.71280475388866527</v>
      </c>
      <c r="P9" s="31">
        <f t="shared" ca="1" si="8"/>
        <v>0.58401668425047015</v>
      </c>
      <c r="Q9" s="9">
        <f t="shared" si="9"/>
        <v>7.0485437029976838E-2</v>
      </c>
      <c r="R9" s="40">
        <f t="shared" ca="1" si="10"/>
        <v>5.7750275931271342E-2</v>
      </c>
      <c r="S9" s="31">
        <f t="shared" ca="1" si="11"/>
        <v>0.44894521398088644</v>
      </c>
      <c r="T9" s="6">
        <f t="shared" ca="1" si="12"/>
        <v>0.37796663436963246</v>
      </c>
      <c r="U9" s="9">
        <f t="shared" ca="1" si="13"/>
        <v>3.0237330749570596E-2</v>
      </c>
      <c r="V9" s="8">
        <f t="shared" ca="1" si="20"/>
        <v>2334.6145396092857</v>
      </c>
      <c r="W9" s="60">
        <f t="shared" ca="1" si="14"/>
        <v>8492.2637939453089</v>
      </c>
      <c r="X9" s="18" t="str">
        <f t="shared" ca="1" si="21"/>
        <v>Good</v>
      </c>
      <c r="Y9" s="33" t="s">
        <v>87</v>
      </c>
    </row>
    <row r="10" spans="1:25" x14ac:dyDescent="0.25">
      <c r="A10" s="18">
        <v>0.09</v>
      </c>
      <c r="B10" s="6">
        <f t="shared" si="0"/>
        <v>2.5446900494077322</v>
      </c>
      <c r="C10" s="6">
        <f t="shared" si="1"/>
        <v>2.8134405000914318</v>
      </c>
      <c r="D10" s="7">
        <f t="shared" ca="1" si="2"/>
        <v>74500.327836395241</v>
      </c>
      <c r="E10" s="8">
        <f t="shared" si="3"/>
        <v>31.747168124669379</v>
      </c>
      <c r="F10" s="8">
        <f t="shared" si="4"/>
        <v>25.247168176997494</v>
      </c>
      <c r="G10" s="6">
        <f t="shared" ca="1" si="15"/>
        <v>6.5</v>
      </c>
      <c r="H10" s="8">
        <f t="shared" si="5"/>
        <v>6.4999999476718848</v>
      </c>
      <c r="I10" s="8">
        <f t="shared" ca="1" si="16"/>
        <v>5.2328115174304912E-8</v>
      </c>
      <c r="J10" s="13">
        <f t="shared" ca="1" si="17"/>
        <v>8.050479257585371E-9</v>
      </c>
      <c r="K10" s="54">
        <v>0.34989512292011915</v>
      </c>
      <c r="L10" s="13">
        <f t="shared" si="6"/>
        <v>2.9964879965950687E-4</v>
      </c>
      <c r="M10" s="17">
        <f t="shared" ca="1" si="18"/>
        <v>1.8475208614068026E-2</v>
      </c>
      <c r="N10" s="7">
        <f t="shared" ca="1" si="19"/>
        <v>1.8475208614068022E-4</v>
      </c>
      <c r="O10" s="9">
        <f t="shared" si="7"/>
        <v>0.7128047565624781</v>
      </c>
      <c r="P10" s="31">
        <f t="shared" ca="1" si="8"/>
        <v>0.52073212767865762</v>
      </c>
      <c r="Q10" s="9">
        <f t="shared" si="9"/>
        <v>7.0485437258685613E-2</v>
      </c>
      <c r="R10" s="40">
        <f t="shared" ca="1" si="10"/>
        <v>5.149240570599186E-2</v>
      </c>
      <c r="S10" s="31">
        <f t="shared" ca="1" si="11"/>
        <v>0.4157254096420121</v>
      </c>
      <c r="T10" s="6">
        <f t="shared" ca="1" si="12"/>
        <v>0.31778263077159119</v>
      </c>
      <c r="U10" s="9">
        <f t="shared" ca="1" si="13"/>
        <v>2.8600436769443207E-2</v>
      </c>
      <c r="V10" s="8">
        <f t="shared" ca="1" si="20"/>
        <v>2818.5453196027461</v>
      </c>
      <c r="W10" s="60">
        <f t="shared" ca="1" si="14"/>
        <v>9211.9471663135555</v>
      </c>
      <c r="X10" s="18" t="str">
        <f t="shared" ca="1" si="21"/>
        <v>Good</v>
      </c>
      <c r="Y10" s="33" t="s">
        <v>88</v>
      </c>
    </row>
    <row r="11" spans="1:25" x14ac:dyDescent="0.25">
      <c r="A11" s="18">
        <v>0.1</v>
      </c>
      <c r="B11" s="6">
        <f t="shared" si="0"/>
        <v>2.8274333882308138</v>
      </c>
      <c r="C11" s="6">
        <f t="shared" si="1"/>
        <v>3.0715435150559691</v>
      </c>
      <c r="D11" s="7">
        <f t="shared" ca="1" si="2"/>
        <v>81334.934514515917</v>
      </c>
      <c r="E11" s="8">
        <f t="shared" si="3"/>
        <v>29.497007634214889</v>
      </c>
      <c r="F11" s="8">
        <f t="shared" si="4"/>
        <v>22.997007671790534</v>
      </c>
      <c r="G11" s="6">
        <f t="shared" ca="1" si="15"/>
        <v>6.5</v>
      </c>
      <c r="H11" s="8">
        <f t="shared" si="5"/>
        <v>6.4999999624243543</v>
      </c>
      <c r="I11" s="8">
        <f t="shared" ca="1" si="16"/>
        <v>3.7575645706056093E-8</v>
      </c>
      <c r="J11" s="13">
        <f t="shared" ca="1" si="17"/>
        <v>5.7808685701624762E-9</v>
      </c>
      <c r="K11" s="54">
        <v>0.35544220299687046</v>
      </c>
      <c r="L11" s="13">
        <f t="shared" si="6"/>
        <v>-1.5549151419629949E-2</v>
      </c>
      <c r="M11" s="17">
        <f t="shared" ca="1" si="18"/>
        <v>0</v>
      </c>
      <c r="N11" s="7">
        <f t="shared" ca="1" si="19"/>
        <v>0</v>
      </c>
      <c r="O11" s="9">
        <f t="shared" si="7"/>
        <v>0.71280475818026745</v>
      </c>
      <c r="P11" s="44">
        <f t="shared" ca="1" si="8"/>
        <v>0</v>
      </c>
      <c r="Q11" s="45">
        <f t="shared" si="9"/>
        <v>7.0485437397065781E-2</v>
      </c>
      <c r="R11" s="45">
        <f t="shared" ca="1" si="10"/>
        <v>0</v>
      </c>
      <c r="S11" s="44">
        <f t="shared" ca="1" si="11"/>
        <v>0</v>
      </c>
      <c r="T11" s="6">
        <f t="shared" ca="1" si="12"/>
        <v>0</v>
      </c>
      <c r="U11" s="9">
        <f t="shared" ca="1" si="13"/>
        <v>0</v>
      </c>
      <c r="V11" s="8" t="e">
        <f t="shared" ca="1" si="20"/>
        <v>#DIV/0!</v>
      </c>
      <c r="W11" s="60">
        <f t="shared" ca="1" si="14"/>
        <v>9942.1624904725559</v>
      </c>
      <c r="X11" s="18" t="e">
        <f t="shared" ca="1" si="21"/>
        <v>#DIV/0!</v>
      </c>
    </row>
    <row r="12" spans="1:25" x14ac:dyDescent="0.25">
      <c r="B12" s="6"/>
      <c r="C12" s="6"/>
      <c r="D12" s="7"/>
      <c r="E12" s="8"/>
      <c r="F12" s="8"/>
      <c r="G12" s="6"/>
      <c r="H12" s="8"/>
      <c r="I12" s="8"/>
      <c r="J12" s="8"/>
      <c r="N12" s="11">
        <f ca="1">SUM(N3:N11)</f>
        <v>2.4129245326667782E-3</v>
      </c>
      <c r="P12" s="12">
        <f ca="1">SUM(P3:P11)</f>
        <v>3.4730446413812284</v>
      </c>
      <c r="R12" s="12">
        <f ca="1">SUM(R3:R11)</f>
        <v>0.34248310089202333</v>
      </c>
      <c r="S12" s="12">
        <f ca="1">SUM(S3:S11)</f>
        <v>2.2212072750405505</v>
      </c>
      <c r="T12" s="12">
        <f ca="1">SUM(T3:T11)</f>
        <v>2.6009927382053166</v>
      </c>
      <c r="U12" s="12">
        <f ca="1">SUM(U3:U11)</f>
        <v>0.15031406202278016</v>
      </c>
      <c r="W12" s="56"/>
    </row>
    <row r="13" spans="1:25" x14ac:dyDescent="0.25">
      <c r="B13" s="6"/>
      <c r="C13" s="6"/>
      <c r="D13" s="7"/>
      <c r="E13" s="8"/>
      <c r="F13" s="8"/>
      <c r="G13" s="6"/>
      <c r="H13" s="8"/>
      <c r="I13" s="8"/>
      <c r="K13" s="11"/>
      <c r="M13" s="12"/>
      <c r="N13" s="6"/>
      <c r="O13" s="12"/>
      <c r="P13" s="12"/>
      <c r="Q13" s="9"/>
      <c r="R13" s="12"/>
      <c r="S13" s="12"/>
      <c r="U13" s="56"/>
    </row>
    <row r="14" spans="1:25" x14ac:dyDescent="0.25">
      <c r="A14" s="84" t="s">
        <v>1</v>
      </c>
      <c r="B14" s="84"/>
      <c r="C14" s="84"/>
      <c r="D14" s="7"/>
      <c r="E14" s="82" t="s">
        <v>30</v>
      </c>
      <c r="F14" s="83"/>
      <c r="G14" s="8"/>
      <c r="H14" s="25" t="s">
        <v>26</v>
      </c>
      <c r="I14" s="25" t="s">
        <v>53</v>
      </c>
      <c r="J14" s="25" t="s">
        <v>27</v>
      </c>
      <c r="K14" s="25" t="s">
        <v>28</v>
      </c>
      <c r="L14" s="25" t="s">
        <v>29</v>
      </c>
      <c r="M14" s="26" t="s">
        <v>31</v>
      </c>
      <c r="O14" s="85" t="s">
        <v>77</v>
      </c>
      <c r="P14" s="85"/>
      <c r="Q14" s="85"/>
      <c r="R14" s="38" t="s">
        <v>10</v>
      </c>
      <c r="S14" s="9"/>
      <c r="T14" s="32" t="s">
        <v>82</v>
      </c>
      <c r="U14" s="48" t="s">
        <v>107</v>
      </c>
    </row>
    <row r="15" spans="1:25" x14ac:dyDescent="0.25">
      <c r="A15" s="20" t="s">
        <v>8</v>
      </c>
      <c r="B15" s="20">
        <f ca="1">0.01*VLOOKUP(LEFT($O$31,SEARCH("-",$O$31)-1),'Summary+ellip'!$A$2:$C$6,3,0)</f>
        <v>0.1</v>
      </c>
      <c r="C15" s="20" t="s">
        <v>9</v>
      </c>
      <c r="D15" s="7"/>
      <c r="E15" s="10" t="s">
        <v>31</v>
      </c>
      <c r="F15" s="10" t="s">
        <v>32</v>
      </c>
      <c r="G15" s="8"/>
      <c r="H15" s="10">
        <v>0.5</v>
      </c>
      <c r="I15" s="10">
        <v>999.1</v>
      </c>
      <c r="J15" s="23">
        <v>1.1379999999999999E-3</v>
      </c>
      <c r="K15" s="23">
        <f>J15/I15</f>
        <v>1.1390251226103492E-6</v>
      </c>
      <c r="L15" s="34">
        <f ca="1">B21</f>
        <v>3.0161556658334726E-2</v>
      </c>
      <c r="M15" s="14">
        <f ca="1">H15*L15/K15</f>
        <v>13240.075244877957</v>
      </c>
      <c r="O15" s="10" t="s">
        <v>65</v>
      </c>
      <c r="P15" s="20" t="s">
        <v>64</v>
      </c>
      <c r="Q15" s="20" t="s">
        <v>66</v>
      </c>
      <c r="R15" s="20" t="s">
        <v>78</v>
      </c>
      <c r="T15" s="35">
        <f ca="1">S12*B16</f>
        <v>2.6654487300486607</v>
      </c>
      <c r="U15" s="49">
        <f ca="1">B24</f>
        <v>1.2469209441846316</v>
      </c>
    </row>
    <row r="16" spans="1:25" x14ac:dyDescent="0.25">
      <c r="A16" s="20" t="s">
        <v>13</v>
      </c>
      <c r="B16" s="20">
        <v>1.2</v>
      </c>
      <c r="C16" s="20" t="s">
        <v>14</v>
      </c>
      <c r="E16" s="14">
        <v>25000</v>
      </c>
      <c r="F16" s="63">
        <f ca="1">IF(RIGHT($A$1,4)*1=2411,VLOOKUP(E16,AofAs!$B$5:$D$10,3,0),VLOOKUP(E16,AofAs!$B$13:$D$18,3,0))</f>
        <v>7</v>
      </c>
      <c r="H16" s="10">
        <v>3</v>
      </c>
      <c r="I16" s="10">
        <v>999.1</v>
      </c>
      <c r="J16" s="23">
        <v>1.1379999999999999E-3</v>
      </c>
      <c r="K16" s="23">
        <f>J16/I16</f>
        <v>1.1390251226103492E-6</v>
      </c>
      <c r="L16" s="34">
        <f ca="1">L15</f>
        <v>3.0161556658334726E-2</v>
      </c>
      <c r="M16" s="14">
        <f ca="1">H16*L16/K16</f>
        <v>79440.451469267733</v>
      </c>
      <c r="O16" s="20">
        <v>2</v>
      </c>
      <c r="P16" s="21">
        <f ca="1">SQRT(($P$29-(O16*2-$P$30)^2)/$P$27)</f>
        <v>2.1081851067789197</v>
      </c>
      <c r="Q16" s="21">
        <f ca="1">-SQRT(($P$29-(O16*2-$P$30)^2)/$P$28)</f>
        <v>-1.2649110640673518</v>
      </c>
      <c r="R16" s="42">
        <f ca="1">(P16-Q16)*0.01</f>
        <v>3.3730961708462716E-2</v>
      </c>
      <c r="T16" s="32" t="s">
        <v>83</v>
      </c>
      <c r="U16" s="48" t="s">
        <v>108</v>
      </c>
    </row>
    <row r="17" spans="1:24" x14ac:dyDescent="0.25">
      <c r="A17" s="20" t="s">
        <v>15</v>
      </c>
      <c r="B17" s="4">
        <v>4.5</v>
      </c>
      <c r="C17" s="20" t="s">
        <v>16</v>
      </c>
      <c r="E17" s="14">
        <v>50000</v>
      </c>
      <c r="F17" s="63">
        <f ca="1">IF(RIGHT($A$1,4)*1=2411,VLOOKUP(E17,AofAs!$B$5:$D$10,3,0),VLOOKUP(E17,AofAs!$B$13:$D$18,3,0))</f>
        <v>6.5</v>
      </c>
      <c r="H17" s="8"/>
      <c r="O17" s="10">
        <v>3</v>
      </c>
      <c r="P17" s="21">
        <f t="shared" ref="P17:P24" ca="1" si="22">SQRT(($P$29-(O17*2-$P$30)^2)/$P$27)</f>
        <v>2.1602468994692869</v>
      </c>
      <c r="Q17" s="21">
        <f t="shared" ref="Q17:Q24" ca="1" si="23">-SQRT(($P$29-(O17*2-$P$30)^2)/$P$28)</f>
        <v>-1.2961481396815719</v>
      </c>
      <c r="R17" s="42">
        <f t="shared" ref="R17:R24" ca="1" si="24">(P17-Q17)*0.01</f>
        <v>3.4563950391508592E-2</v>
      </c>
      <c r="T17" s="36">
        <f ca="1">U12*B18</f>
        <v>4.2500299768380598</v>
      </c>
      <c r="U17" s="49">
        <f>B23</f>
        <v>0.34913786437169686</v>
      </c>
    </row>
    <row r="18" spans="1:24" x14ac:dyDescent="0.25">
      <c r="A18" s="20" t="s">
        <v>17</v>
      </c>
      <c r="B18" s="21">
        <f>2*PI()*B17</f>
        <v>28.274333882308138</v>
      </c>
      <c r="C18" s="20" t="s">
        <v>18</v>
      </c>
      <c r="E18" s="14">
        <v>100000</v>
      </c>
      <c r="F18" s="63">
        <f ca="1">IF(RIGHT($A$1,4)*1=2411,VLOOKUP(E18,AofAs!$B$5:$D$10,3,0),VLOOKUP(E18,AofAs!$B$13:$D$18,3,0))</f>
        <v>6</v>
      </c>
      <c r="H18" s="8"/>
      <c r="O18" s="10">
        <v>4</v>
      </c>
      <c r="P18" s="21">
        <f t="shared" ca="1" si="22"/>
        <v>2.1602468994692869</v>
      </c>
      <c r="Q18" s="21">
        <f t="shared" ca="1" si="23"/>
        <v>-1.2961481396815719</v>
      </c>
      <c r="R18" s="42">
        <f t="shared" ca="1" si="24"/>
        <v>3.4563950391508592E-2</v>
      </c>
      <c r="T18" s="32" t="s">
        <v>84</v>
      </c>
      <c r="V18" s="6"/>
      <c r="W18" s="9"/>
      <c r="X18" s="8"/>
    </row>
    <row r="19" spans="1:24" x14ac:dyDescent="0.25">
      <c r="A19" s="20" t="s">
        <v>19</v>
      </c>
      <c r="B19" s="21">
        <v>0.04</v>
      </c>
      <c r="C19" s="20" t="s">
        <v>9</v>
      </c>
      <c r="D19" s="7"/>
      <c r="E19" s="14">
        <v>200000</v>
      </c>
      <c r="F19" s="63">
        <f ca="1">IF(RIGHT($A$1,4)*1=2411,VLOOKUP(E19,AofAs!$B$5:$D$10,3,0),VLOOKUP(E19,AofAs!$B$13:$D$18,3,0))</f>
        <v>5.5</v>
      </c>
      <c r="G19" s="8"/>
      <c r="H19" s="55" t="s">
        <v>125</v>
      </c>
      <c r="I19" s="14">
        <f>Pressure!$D$4</f>
        <v>3500000000</v>
      </c>
      <c r="J19" s="10" t="s">
        <v>126</v>
      </c>
      <c r="O19" s="10">
        <v>5</v>
      </c>
      <c r="P19" s="21">
        <f t="shared" ca="1" si="22"/>
        <v>2.1081851067789197</v>
      </c>
      <c r="Q19" s="21">
        <f t="shared" ca="1" si="23"/>
        <v>-1.2649110640673518</v>
      </c>
      <c r="R19" s="42">
        <f t="shared" ca="1" si="24"/>
        <v>3.3730961708462716E-2</v>
      </c>
      <c r="T19" s="37">
        <f ca="1">T15/T17</f>
        <v>0.62715998347656432</v>
      </c>
    </row>
    <row r="20" spans="1:24" x14ac:dyDescent="0.25">
      <c r="A20" s="20" t="s">
        <v>20</v>
      </c>
      <c r="B20" s="20">
        <f ca="1">2*(B15+B19)</f>
        <v>0.28000000000000003</v>
      </c>
      <c r="C20" s="20" t="s">
        <v>9</v>
      </c>
      <c r="D20" s="7"/>
      <c r="E20" s="14">
        <v>500000</v>
      </c>
      <c r="F20" s="63">
        <f ca="1">IF(RIGHT($A$1,4)*1=2411,VLOOKUP(E20,AofAs!$B$5:$D$10,3,0),VLOOKUP(E20,AofAs!$B$13:$D$18,3,0))</f>
        <v>5</v>
      </c>
      <c r="G20" s="8"/>
      <c r="H20" s="55" t="s">
        <v>127</v>
      </c>
      <c r="I20" s="14">
        <f ca="1">VLOOKUP(O31,Pressure!$F$2:$M$11,6,0)</f>
        <v>1.9876749999999995E-10</v>
      </c>
      <c r="J20" s="10" t="s">
        <v>128</v>
      </c>
      <c r="O20" s="10">
        <v>6</v>
      </c>
      <c r="P20" s="21">
        <f t="shared" ca="1" si="22"/>
        <v>2</v>
      </c>
      <c r="Q20" s="21">
        <f t="shared" ca="1" si="23"/>
        <v>-1.2</v>
      </c>
      <c r="R20" s="42">
        <f t="shared" ca="1" si="24"/>
        <v>3.2000000000000001E-2</v>
      </c>
      <c r="T20" s="32" t="s">
        <v>92</v>
      </c>
      <c r="V20" s="13"/>
    </row>
    <row r="21" spans="1:24" x14ac:dyDescent="0.25">
      <c r="A21" s="20" t="s">
        <v>21</v>
      </c>
      <c r="B21" s="43">
        <f ca="1">AVERAGE(M3:M10)</f>
        <v>3.0161556658334726E-2</v>
      </c>
      <c r="C21" s="20" t="s">
        <v>9</v>
      </c>
      <c r="D21" s="7"/>
      <c r="E21" s="14">
        <v>1000000</v>
      </c>
      <c r="F21" s="63">
        <f ca="1">IF(RIGHT($A$1,4)*1=2411,VLOOKUP(E21,AofAs!$B$5:$D$10,3,0),VLOOKUP(E21,AofAs!$B$13:$D$18,3,0))</f>
        <v>4</v>
      </c>
      <c r="G21" s="8"/>
      <c r="H21" s="55" t="s">
        <v>129</v>
      </c>
      <c r="I21" s="14">
        <f ca="1">VLOOKUP(O31,Pressure!$F$2:$M$11,7,0)</f>
        <v>5.0000000000000001E-3</v>
      </c>
      <c r="J21" s="10" t="s">
        <v>9</v>
      </c>
      <c r="O21" s="10">
        <v>7</v>
      </c>
      <c r="P21" s="21">
        <f t="shared" ca="1" si="22"/>
        <v>1.8257418583505538</v>
      </c>
      <c r="Q21" s="21">
        <f t="shared" ca="1" si="23"/>
        <v>-1.0954451150103321</v>
      </c>
      <c r="R21" s="42">
        <f t="shared" ca="1" si="24"/>
        <v>2.9211869733608859E-2</v>
      </c>
      <c r="T21" s="35">
        <f>O3/Q3</f>
        <v>10.186806550248825</v>
      </c>
    </row>
    <row r="22" spans="1:24" x14ac:dyDescent="0.25">
      <c r="A22" s="20" t="s">
        <v>57</v>
      </c>
      <c r="B22" s="4">
        <v>0.35</v>
      </c>
      <c r="C22" s="20" t="s">
        <v>9</v>
      </c>
      <c r="H22" s="55" t="s">
        <v>131</v>
      </c>
      <c r="I22" s="10">
        <f>A11-A3</f>
        <v>0.08</v>
      </c>
      <c r="J22" s="10" t="s">
        <v>9</v>
      </c>
      <c r="O22" s="10">
        <v>8</v>
      </c>
      <c r="P22" s="21">
        <f t="shared" ca="1" si="22"/>
        <v>1.5634719199411433</v>
      </c>
      <c r="Q22" s="21">
        <f t="shared" ca="1" si="23"/>
        <v>-0.93808315196468595</v>
      </c>
      <c r="R22" s="42">
        <f t="shared" ca="1" si="24"/>
        <v>2.5015550719058297E-2</v>
      </c>
    </row>
    <row r="23" spans="1:24" x14ac:dyDescent="0.25">
      <c r="A23" s="20" t="s">
        <v>52</v>
      </c>
      <c r="B23" s="22">
        <f>AVERAGE(K3:K11)</f>
        <v>0.34913786437169686</v>
      </c>
      <c r="C23" s="20" t="s">
        <v>9</v>
      </c>
      <c r="O23" s="10">
        <v>9</v>
      </c>
      <c r="P23" s="21">
        <f t="shared" ca="1" si="22"/>
        <v>1.1547005383792515</v>
      </c>
      <c r="Q23" s="21">
        <f t="shared" ca="1" si="23"/>
        <v>-0.69282032302755092</v>
      </c>
      <c r="R23" s="42">
        <f t="shared" ca="1" si="24"/>
        <v>1.8475208614068026E-2</v>
      </c>
    </row>
    <row r="24" spans="1:24" x14ac:dyDescent="0.25">
      <c r="A24" s="20" t="s">
        <v>23</v>
      </c>
      <c r="B24" s="21">
        <f ca="1">B23/B20</f>
        <v>1.2469209441846316</v>
      </c>
      <c r="C24" s="20"/>
      <c r="D24" s="18" t="s">
        <v>91</v>
      </c>
      <c r="O24" s="10">
        <v>10</v>
      </c>
      <c r="P24" s="21">
        <f t="shared" ca="1" si="22"/>
        <v>0</v>
      </c>
      <c r="Q24" s="21">
        <f t="shared" ca="1" si="23"/>
        <v>0</v>
      </c>
      <c r="R24" s="42">
        <f t="shared" ca="1" si="24"/>
        <v>0</v>
      </c>
    </row>
    <row r="25" spans="1:24" x14ac:dyDescent="0.25">
      <c r="A25" s="20" t="s">
        <v>24</v>
      </c>
      <c r="B25" s="20">
        <v>0.06</v>
      </c>
      <c r="C25" s="10"/>
      <c r="R25" s="11">
        <f ca="1">AVERAGE(R16:R24)</f>
        <v>2.6810272585186423E-2</v>
      </c>
      <c r="S25" s="2" t="s">
        <v>79</v>
      </c>
    </row>
    <row r="26" spans="1:24" x14ac:dyDescent="0.25">
      <c r="A26" s="20" t="s">
        <v>25</v>
      </c>
      <c r="B26" s="20">
        <v>0.04</v>
      </c>
      <c r="C26" s="10"/>
      <c r="O26" s="18" t="s">
        <v>46</v>
      </c>
      <c r="P26" s="1">
        <f ca="1">VLOOKUP($O$31,'Summary+ellip'!$A$16:$F$20,2,0)</f>
        <v>1</v>
      </c>
    </row>
    <row r="27" spans="1:24" x14ac:dyDescent="0.25">
      <c r="O27" s="18" t="s">
        <v>49</v>
      </c>
      <c r="P27" s="1">
        <f ca="1">VLOOKUP($O$31,'Summary+ellip'!$A$16:$F$20,3,0)</f>
        <v>36</v>
      </c>
    </row>
    <row r="28" spans="1:24" x14ac:dyDescent="0.25">
      <c r="O28" s="18" t="s">
        <v>50</v>
      </c>
      <c r="P28" s="1">
        <f ca="1">VLOOKUP($O$31,'Summary+ellip'!$A$16:$F$20,4,0)</f>
        <v>100</v>
      </c>
    </row>
    <row r="29" spans="1:24" x14ac:dyDescent="0.25">
      <c r="O29" s="18" t="s">
        <v>47</v>
      </c>
      <c r="P29" s="1">
        <f ca="1">VLOOKUP($O$31,'Summary+ellip'!$A$16:$F$20,5,0)</f>
        <v>169</v>
      </c>
    </row>
    <row r="30" spans="1:24" x14ac:dyDescent="0.25">
      <c r="O30" s="18" t="s">
        <v>67</v>
      </c>
      <c r="P30" s="1">
        <f ca="1">VLOOKUP($O$31,'Summary+ellip'!$A$16:$F$20,6,0)</f>
        <v>7</v>
      </c>
    </row>
    <row r="31" spans="1:24" x14ac:dyDescent="0.25">
      <c r="O31" s="18" t="str">
        <f ca="1">TEXT(REPLACE(CELL("filename",O31),1,SEARCH("]",CELL("filename",O31)),""),"mmmm yyyy")</f>
        <v>Paul-half</v>
      </c>
    </row>
  </sheetData>
  <mergeCells count="6">
    <mergeCell ref="A14:C14"/>
    <mergeCell ref="E14:F14"/>
    <mergeCell ref="O14:Q14"/>
    <mergeCell ref="N1:X1"/>
    <mergeCell ref="B1:F1"/>
    <mergeCell ref="L1:L2"/>
  </mergeCells>
  <conditionalFormatting sqref="H17:H18 H13 J12">
    <cfRule type="cellIs" dxfId="8" priority="3" operator="greaterThan">
      <formula>0</formula>
    </cfRule>
  </conditionalFormatting>
  <conditionalFormatting sqref="U15">
    <cfRule type="cellIs" dxfId="7" priority="1" operator="greaterThan">
      <formula>1.1</formula>
    </cfRule>
    <cfRule type="cellIs" dxfId="6" priority="2" operator="lessThan">
      <formula>0.8</formula>
    </cfRule>
  </conditionalFormatting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tabSelected="1" workbookViewId="0">
      <selection activeCell="U26" sqref="U26"/>
    </sheetView>
  </sheetViews>
  <sheetFormatPr defaultRowHeight="15" x14ac:dyDescent="0.25"/>
  <cols>
    <col min="1" max="1" width="13.140625" customWidth="1"/>
  </cols>
  <sheetData>
    <row r="1" spans="1:2" x14ac:dyDescent="0.25">
      <c r="A1" t="s">
        <v>163</v>
      </c>
    </row>
    <row r="2" spans="1:2" x14ac:dyDescent="0.25">
      <c r="A2" s="1">
        <v>0.02</v>
      </c>
      <c r="B2" s="8">
        <v>71.768362715016451</v>
      </c>
    </row>
    <row r="3" spans="1:2" x14ac:dyDescent="0.25">
      <c r="A3" s="18">
        <v>0.03</v>
      </c>
      <c r="B3" s="8">
        <v>61.745100910319316</v>
      </c>
    </row>
    <row r="4" spans="1:2" x14ac:dyDescent="0.25">
      <c r="A4" s="18">
        <v>0.04</v>
      </c>
      <c r="B4" s="8">
        <v>53.696192692481958</v>
      </c>
    </row>
    <row r="5" spans="1:2" x14ac:dyDescent="0.25">
      <c r="A5" s="18">
        <v>0.05</v>
      </c>
      <c r="B5" s="8">
        <v>47.325475095654028</v>
      </c>
    </row>
    <row r="6" spans="1:2" x14ac:dyDescent="0.25">
      <c r="A6" s="18">
        <v>0.06</v>
      </c>
      <c r="B6" s="8">
        <v>41.773881390583632</v>
      </c>
    </row>
    <row r="7" spans="1:2" x14ac:dyDescent="0.25">
      <c r="A7" s="18">
        <v>7.0000000000000007E-2</v>
      </c>
      <c r="B7" s="8">
        <v>37.728623688943053</v>
      </c>
    </row>
    <row r="8" spans="1:2" x14ac:dyDescent="0.25">
      <c r="A8" s="18">
        <v>0.08</v>
      </c>
      <c r="B8" s="8">
        <v>34.446687168768506</v>
      </c>
    </row>
    <row r="9" spans="1:2" x14ac:dyDescent="0.25">
      <c r="A9" s="18">
        <v>0.09</v>
      </c>
      <c r="B9" s="8">
        <v>31.747168124669379</v>
      </c>
    </row>
    <row r="10" spans="1:2" x14ac:dyDescent="0.25">
      <c r="A10" s="18">
        <v>0.1</v>
      </c>
      <c r="B10" s="8">
        <v>29.497007634214889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1"/>
  <sheetViews>
    <sheetView zoomScale="83" zoomScaleNormal="70" workbookViewId="0">
      <selection activeCell="J3" sqref="J3"/>
    </sheetView>
  </sheetViews>
  <sheetFormatPr defaultRowHeight="15" x14ac:dyDescent="0.25"/>
  <cols>
    <col min="1" max="1" width="11.28515625" style="18" customWidth="1"/>
    <col min="2" max="2" width="6.85546875" style="18" customWidth="1"/>
    <col min="3" max="3" width="9.140625" style="18"/>
    <col min="4" max="4" width="9.7109375" style="18" customWidth="1"/>
    <col min="5" max="5" width="9.85546875" style="18" customWidth="1"/>
    <col min="6" max="6" width="10.140625" style="18" customWidth="1"/>
    <col min="7" max="7" width="7" style="18" customWidth="1"/>
    <col min="8" max="8" width="7.85546875" style="18" customWidth="1"/>
    <col min="9" max="9" width="8.85546875" style="18" bestFit="1" customWidth="1"/>
    <col min="10" max="11" width="9.5703125" style="18" bestFit="1" customWidth="1"/>
    <col min="12" max="12" width="9.5703125" style="18" customWidth="1"/>
    <col min="13" max="13" width="14.42578125" style="18" bestFit="1" customWidth="1"/>
    <col min="14" max="14" width="15.140625" style="18" bestFit="1" customWidth="1"/>
    <col min="15" max="15" width="6.85546875" style="18" customWidth="1"/>
    <col min="16" max="16" width="8.28515625" style="1" customWidth="1"/>
    <col min="17" max="17" width="9.85546875" style="18" customWidth="1"/>
    <col min="18" max="18" width="13.85546875" style="18" customWidth="1"/>
    <col min="19" max="19" width="9.85546875" style="18" bestFit="1" customWidth="1"/>
    <col min="20" max="20" width="12.7109375" style="18" customWidth="1"/>
    <col min="21" max="21" width="11.7109375" style="18" customWidth="1"/>
    <col min="22" max="16384" width="9.140625" style="18"/>
  </cols>
  <sheetData>
    <row r="1" spans="1:25" x14ac:dyDescent="0.25">
      <c r="A1" s="24" t="str">
        <f ca="1">CONCATENATE("NACA "&amp;VLOOKUP(LEFT($O$31,SEARCH("-",$O$31)-1),'Summary+ellip'!$A$2:$F$6,6,0))</f>
        <v>NACA 4415</v>
      </c>
      <c r="B1" s="81" t="s">
        <v>0</v>
      </c>
      <c r="C1" s="81"/>
      <c r="D1" s="81"/>
      <c r="E1" s="81"/>
      <c r="F1" s="81"/>
      <c r="G1" s="62"/>
      <c r="H1" s="62"/>
      <c r="I1" s="62"/>
      <c r="L1" s="87" t="s">
        <v>152</v>
      </c>
      <c r="M1" s="18" t="s">
        <v>89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5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56</v>
      </c>
      <c r="I2" s="2" t="s">
        <v>138</v>
      </c>
      <c r="J2" s="3" t="s">
        <v>6</v>
      </c>
      <c r="K2" s="39" t="s">
        <v>7</v>
      </c>
      <c r="L2" s="87"/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5" x14ac:dyDescent="0.25">
      <c r="A3" s="1">
        <v>0.02</v>
      </c>
      <c r="B3" s="6">
        <f t="shared" ref="B3:B11" si="0">A3*$B$18</f>
        <v>0.56548667764616278</v>
      </c>
      <c r="C3" s="6">
        <f t="shared" ref="C3:C11" si="1">SQRT(B3^2+$B$16^2)</f>
        <v>1.3265651821886835</v>
      </c>
      <c r="D3" s="7">
        <f t="shared" ref="D3:D11" ca="1" si="2">C3*$B$21/$K$15</f>
        <v>35127.645658826805</v>
      </c>
      <c r="E3" s="8">
        <f t="shared" ref="E3:E11" si="3">DEGREES(ATAN(K3/(2*PI()*A3)))</f>
        <v>71.768362782200271</v>
      </c>
      <c r="F3" s="8">
        <f t="shared" ref="F3:F11" si="4">DEGREES(ATAN($B$16/B3))</f>
        <v>64.768362799132177</v>
      </c>
      <c r="G3" s="6">
        <f ca="1">VLOOKUP(D3,$E$16:$F$21,2,1)</f>
        <v>7</v>
      </c>
      <c r="H3" s="8">
        <f t="shared" ref="H3:H11" si="5">E3-F3</f>
        <v>6.9999999830680935</v>
      </c>
      <c r="I3" s="8">
        <f ca="1">G3-H3</f>
        <v>1.6931906543504738E-8</v>
      </c>
      <c r="J3" s="13">
        <f ca="1">(G3-H3)/G3</f>
        <v>2.4188437919292483E-9</v>
      </c>
      <c r="K3" s="54">
        <v>0.38149823979866332</v>
      </c>
      <c r="L3" s="13">
        <f t="shared" ref="L3:L11" si="6">($B$22-K3)/$B$22</f>
        <v>-8.9994970853323836E-2</v>
      </c>
      <c r="M3" s="17">
        <f ca="1">R16</f>
        <v>3.3730961708462716E-2</v>
      </c>
      <c r="N3" s="7">
        <f ca="1">M3*($A$4-$A$3)</f>
        <v>3.373096170846271E-4</v>
      </c>
      <c r="O3" s="9">
        <f t="shared" ref="O3:O11" si="7">2*PI()*RADIANS(H3)</f>
        <v>0.76763589600571425</v>
      </c>
      <c r="P3" s="6">
        <f t="shared" ref="P3:P11" ca="1" si="8">0.5*O3*$I$15*C3^2*N3</f>
        <v>0.22762510049782969</v>
      </c>
      <c r="Q3" s="9">
        <f t="shared" ref="Q3:Q11" si="9">$B$25*O3^2+$B$26</f>
        <v>7.5355892130189742E-2</v>
      </c>
      <c r="R3" s="9">
        <f t="shared" ref="R3:R11" ca="1" si="10">0.5*Q3*$I$15*C3^2*N3</f>
        <v>2.2345089134693578E-2</v>
      </c>
      <c r="S3" s="6">
        <f t="shared" ref="S3:S11" ca="1" si="11">P3*COS(RADIANS(F3+H3))-R3*SIN(RADIANS(F3+H3))</f>
        <v>4.9991303776835E-2</v>
      </c>
      <c r="T3" s="6">
        <f t="shared" ref="T3:T11" ca="1" si="12">R3*COS(RADIANS(F3+H3))+P3*SIN(RADIANS(F3+H3))</f>
        <v>0.22318906543954312</v>
      </c>
      <c r="U3" s="9">
        <f t="shared" ref="U3:U11" ca="1" si="13">T3*A3</f>
        <v>4.4637813087908627E-3</v>
      </c>
      <c r="V3" s="8">
        <f ca="1">P3/N3</f>
        <v>674.82540956050229</v>
      </c>
      <c r="W3" s="60">
        <f t="shared" ref="W3:W11" ca="1" si="14">24*$I$19*$I$20*$I$21/$I$22^3/(A3^2-4*$I$22*A3+6*$I$22^2)</f>
        <v>10530.825014467586</v>
      </c>
      <c r="X3" s="18" t="str">
        <f ca="1">IF(V3&lt;W3,"Good","Change")</f>
        <v>Good</v>
      </c>
    </row>
    <row r="4" spans="1:25" x14ac:dyDescent="0.25">
      <c r="A4" s="18">
        <v>0.03</v>
      </c>
      <c r="B4" s="6">
        <f t="shared" si="0"/>
        <v>0.84823001646924412</v>
      </c>
      <c r="C4" s="6">
        <f t="shared" si="1"/>
        <v>1.4695217456163805</v>
      </c>
      <c r="D4" s="7">
        <f t="shared" ca="1" si="2"/>
        <v>38913.156971890567</v>
      </c>
      <c r="E4" s="8">
        <f t="shared" si="3"/>
        <v>61.745100913336891</v>
      </c>
      <c r="F4" s="8">
        <f t="shared" si="4"/>
        <v>54.745100913343656</v>
      </c>
      <c r="G4" s="6">
        <f t="shared" ref="G4:G11" ca="1" si="15">VLOOKUP(D4,$E$16:$F$21,2,1)</f>
        <v>7</v>
      </c>
      <c r="H4" s="8">
        <f t="shared" si="5"/>
        <v>6.9999999999932356</v>
      </c>
      <c r="I4" s="8">
        <f t="shared" ref="I4:I11" ca="1" si="16">G4-H4</f>
        <v>6.7643668444361538E-12</v>
      </c>
      <c r="J4" s="13">
        <f t="shared" ref="J4:J11" ca="1" si="17">(G4-H4)/G4</f>
        <v>9.6633812063373625E-13</v>
      </c>
      <c r="K4" s="54">
        <v>0.35073536451629655</v>
      </c>
      <c r="L4" s="13">
        <f t="shared" si="6"/>
        <v>-2.101041475133078E-3</v>
      </c>
      <c r="M4" s="17">
        <f t="shared" ref="M4:M11" ca="1" si="18">R17</f>
        <v>3.4563950391508592E-2</v>
      </c>
      <c r="N4" s="7">
        <f t="shared" ref="N4:N11" ca="1" si="19">M4*($A$4-$A$3)</f>
        <v>3.4563950391508589E-4</v>
      </c>
      <c r="O4" s="9">
        <f t="shared" si="7"/>
        <v>0.76763589786176389</v>
      </c>
      <c r="P4" s="6">
        <f t="shared" ca="1" si="8"/>
        <v>0.2862263724496647</v>
      </c>
      <c r="Q4" s="9">
        <f t="shared" si="9"/>
        <v>7.5355892301162186E-2</v>
      </c>
      <c r="R4" s="9">
        <f t="shared" ca="1" si="10"/>
        <v>2.8097752796799758E-2</v>
      </c>
      <c r="S4" s="6">
        <f t="shared" ca="1" si="11"/>
        <v>0.11074821667176429</v>
      </c>
      <c r="T4" s="6">
        <f t="shared" ca="1" si="12"/>
        <v>0.26542391094614703</v>
      </c>
      <c r="U4" s="9">
        <f t="shared" ca="1" si="13"/>
        <v>7.962717328384411E-3</v>
      </c>
      <c r="V4" s="8">
        <f t="shared" ref="V4:V11" ca="1" si="20">P4/N4</f>
        <v>828.10665218401266</v>
      </c>
      <c r="W4" s="60">
        <f t="shared" ca="1" si="14"/>
        <v>11488.172743055547</v>
      </c>
      <c r="X4" s="18" t="str">
        <f t="shared" ref="X4:X11" ca="1" si="21">IF(V4&lt;W4,"Good","Change")</f>
        <v>Good</v>
      </c>
    </row>
    <row r="5" spans="1:25" x14ac:dyDescent="0.25">
      <c r="A5" s="18">
        <v>0.04</v>
      </c>
      <c r="B5" s="6">
        <f t="shared" si="0"/>
        <v>1.1309733552923256</v>
      </c>
      <c r="C5" s="6">
        <f t="shared" si="1"/>
        <v>1.6489695965605857</v>
      </c>
      <c r="D5" s="7">
        <f t="shared" ca="1" si="2"/>
        <v>43664.963069956408</v>
      </c>
      <c r="E5" s="8">
        <f t="shared" si="3"/>
        <v>53.696192683520557</v>
      </c>
      <c r="F5" s="8">
        <f t="shared" si="4"/>
        <v>46.696192692829335</v>
      </c>
      <c r="G5" s="6">
        <f t="shared" ca="1" si="15"/>
        <v>7</v>
      </c>
      <c r="H5" s="8">
        <f t="shared" si="5"/>
        <v>6.9999999906912223</v>
      </c>
      <c r="I5" s="8">
        <f t="shared" ca="1" si="16"/>
        <v>9.3087777486289269E-9</v>
      </c>
      <c r="J5" s="13">
        <f t="shared" ca="1" si="17"/>
        <v>1.3298253926612752E-9</v>
      </c>
      <c r="K5" s="54">
        <v>0.34209316508061866</v>
      </c>
      <c r="L5" s="13">
        <f t="shared" si="6"/>
        <v>2.2590956912518067E-2</v>
      </c>
      <c r="M5" s="17">
        <f t="shared" ca="1" si="18"/>
        <v>3.4563950391508592E-2</v>
      </c>
      <c r="N5" s="7">
        <f t="shared" ca="1" si="19"/>
        <v>3.4563950391508589E-4</v>
      </c>
      <c r="O5" s="9">
        <f t="shared" si="7"/>
        <v>0.76763589684168387</v>
      </c>
      <c r="P5" s="6">
        <f t="shared" ca="1" si="8"/>
        <v>0.36039844490502965</v>
      </c>
      <c r="Q5" s="9">
        <f t="shared" si="9"/>
        <v>7.5355892207196185E-2</v>
      </c>
      <c r="R5" s="9">
        <f t="shared" ca="1" si="10"/>
        <v>3.5378942644087433E-2</v>
      </c>
      <c r="S5" s="6">
        <f t="shared" ca="1" si="11"/>
        <v>0.18486843072296238</v>
      </c>
      <c r="T5" s="6">
        <f t="shared" ca="1" si="12"/>
        <v>0.31138781606640709</v>
      </c>
      <c r="U5" s="9">
        <f t="shared" ca="1" si="13"/>
        <v>1.2455512642656284E-2</v>
      </c>
      <c r="V5" s="8">
        <f t="shared" ca="1" si="20"/>
        <v>1042.7003881870216</v>
      </c>
      <c r="W5" s="60">
        <f t="shared" ca="1" si="14"/>
        <v>12544.070973115802</v>
      </c>
      <c r="X5" s="18" t="str">
        <f t="shared" ca="1" si="21"/>
        <v>Good</v>
      </c>
    </row>
    <row r="6" spans="1:25" x14ac:dyDescent="0.25">
      <c r="A6" s="18">
        <v>0.05</v>
      </c>
      <c r="B6" s="6">
        <f t="shared" si="0"/>
        <v>1.4137166941154069</v>
      </c>
      <c r="C6" s="6">
        <f t="shared" si="1"/>
        <v>1.8543448684698849</v>
      </c>
      <c r="D6" s="7">
        <f t="shared" ca="1" si="2"/>
        <v>49103.331176989188</v>
      </c>
      <c r="E6" s="8">
        <f t="shared" si="3"/>
        <v>47.325475093694834</v>
      </c>
      <c r="F6" s="8">
        <f t="shared" si="4"/>
        <v>40.325475095727015</v>
      </c>
      <c r="G6" s="6">
        <f t="shared" ca="1" si="15"/>
        <v>7</v>
      </c>
      <c r="H6" s="8">
        <f t="shared" si="5"/>
        <v>6.9999999979678194</v>
      </c>
      <c r="I6" s="8">
        <f t="shared" ca="1" si="16"/>
        <v>2.0321806459833169E-9</v>
      </c>
      <c r="J6" s="13">
        <f t="shared" ca="1" si="17"/>
        <v>2.9031152085475954E-10</v>
      </c>
      <c r="K6" s="54">
        <v>0.340755005430951</v>
      </c>
      <c r="L6" s="13">
        <f t="shared" si="6"/>
        <v>2.6414270197282805E-2</v>
      </c>
      <c r="M6" s="17">
        <f t="shared" ca="1" si="18"/>
        <v>3.3730961708462716E-2</v>
      </c>
      <c r="N6" s="7">
        <f t="shared" ca="1" si="19"/>
        <v>3.373096170846271E-4</v>
      </c>
      <c r="O6" s="9">
        <f t="shared" si="7"/>
        <v>0.76763589763965201</v>
      </c>
      <c r="P6" s="6">
        <f t="shared" ca="1" si="8"/>
        <v>0.44477869508143886</v>
      </c>
      <c r="Q6" s="9">
        <f t="shared" si="9"/>
        <v>7.5355892280702053E-2</v>
      </c>
      <c r="R6" s="9">
        <f t="shared" ca="1" si="10"/>
        <v>4.3662230412056274E-2</v>
      </c>
      <c r="S6" s="6">
        <f t="shared" ca="1" si="11"/>
        <v>0.26938443441924897</v>
      </c>
      <c r="T6" s="6">
        <f t="shared" ca="1" si="12"/>
        <v>0.3566041284891755</v>
      </c>
      <c r="U6" s="9">
        <f t="shared" ca="1" si="13"/>
        <v>1.7830206424458775E-2</v>
      </c>
      <c r="V6" s="8">
        <f t="shared" ca="1" si="20"/>
        <v>1318.6066229764479</v>
      </c>
      <c r="W6" s="60">
        <f t="shared" ca="1" si="14"/>
        <v>13702.760259789147</v>
      </c>
      <c r="X6" s="18" t="str">
        <f t="shared" ca="1" si="21"/>
        <v>Good</v>
      </c>
    </row>
    <row r="7" spans="1:25" x14ac:dyDescent="0.25">
      <c r="A7" s="18">
        <v>0.06</v>
      </c>
      <c r="B7" s="6">
        <f t="shared" si="0"/>
        <v>1.6964600329384882</v>
      </c>
      <c r="C7" s="6">
        <f t="shared" si="1"/>
        <v>2.0779741681160662</v>
      </c>
      <c r="D7" s="7">
        <f t="shared" ca="1" si="2"/>
        <v>55025.068685538783</v>
      </c>
      <c r="E7" s="8">
        <f t="shared" si="3"/>
        <v>42.273881389963812</v>
      </c>
      <c r="F7" s="8">
        <f t="shared" si="4"/>
        <v>35.273881390585245</v>
      </c>
      <c r="G7" s="6">
        <f t="shared" ca="1" si="15"/>
        <v>7</v>
      </c>
      <c r="H7" s="8">
        <f t="shared" si="5"/>
        <v>6.9999999993785664</v>
      </c>
      <c r="I7" s="8">
        <f t="shared" ca="1" si="16"/>
        <v>6.2143357126842602E-10</v>
      </c>
      <c r="J7" s="13">
        <f t="shared" ca="1" si="17"/>
        <v>8.8776224466918001E-11</v>
      </c>
      <c r="K7" s="54">
        <v>0.34272151056034966</v>
      </c>
      <c r="L7" s="13">
        <f t="shared" si="6"/>
        <v>2.0795684113286618E-2</v>
      </c>
      <c r="M7" s="17">
        <f t="shared" ca="1" si="18"/>
        <v>3.2000000000000001E-2</v>
      </c>
      <c r="N7" s="7">
        <f t="shared" ca="1" si="19"/>
        <v>3.1999999999999997E-4</v>
      </c>
      <c r="O7" s="9">
        <f t="shared" si="7"/>
        <v>0.76763589779435781</v>
      </c>
      <c r="P7" s="31">
        <f t="shared" ca="1" si="8"/>
        <v>0.52986411308629955</v>
      </c>
      <c r="Q7" s="9">
        <f t="shared" si="9"/>
        <v>7.5355892294952986E-2</v>
      </c>
      <c r="R7" s="40">
        <f t="shared" ca="1" si="10"/>
        <v>5.2014741821504028E-2</v>
      </c>
      <c r="S7" s="31">
        <f t="shared" ca="1" si="11"/>
        <v>0.35707746300298704</v>
      </c>
      <c r="T7" s="6">
        <f t="shared" ca="1" si="12"/>
        <v>0.39491416424185011</v>
      </c>
      <c r="U7" s="9">
        <f t="shared" ca="1" si="13"/>
        <v>2.3694849854511004E-2</v>
      </c>
      <c r="V7" s="8">
        <f t="shared" ca="1" si="20"/>
        <v>1655.8253533946863</v>
      </c>
      <c r="W7" s="60">
        <f t="shared" ca="1" si="14"/>
        <v>14964.856599506569</v>
      </c>
      <c r="X7" s="18" t="str">
        <f t="shared" ca="1" si="21"/>
        <v>Good</v>
      </c>
      <c r="Y7" s="33" t="s">
        <v>85</v>
      </c>
    </row>
    <row r="8" spans="1:25" x14ac:dyDescent="0.25">
      <c r="A8" s="18">
        <v>7.0000000000000007E-2</v>
      </c>
      <c r="B8" s="6">
        <f t="shared" si="0"/>
        <v>1.9792033717615698</v>
      </c>
      <c r="C8" s="6">
        <f t="shared" si="1"/>
        <v>2.3145725278747191</v>
      </c>
      <c r="D8" s="7">
        <f t="shared" ca="1" si="2"/>
        <v>61290.22885757732</v>
      </c>
      <c r="E8" s="8">
        <f t="shared" si="3"/>
        <v>38.228623688330245</v>
      </c>
      <c r="F8" s="8">
        <f t="shared" si="4"/>
        <v>31.228623688943674</v>
      </c>
      <c r="G8" s="6">
        <f t="shared" ca="1" si="15"/>
        <v>7</v>
      </c>
      <c r="H8" s="8">
        <f t="shared" si="5"/>
        <v>6.9999999993865707</v>
      </c>
      <c r="I8" s="8">
        <f t="shared" ca="1" si="16"/>
        <v>6.1342930735008849E-10</v>
      </c>
      <c r="J8" s="13">
        <f t="shared" ca="1" si="17"/>
        <v>8.7632758192869788E-11</v>
      </c>
      <c r="K8" s="54">
        <v>0.34646248006515717</v>
      </c>
      <c r="L8" s="13">
        <f t="shared" si="6"/>
        <v>1.0107199813836582E-2</v>
      </c>
      <c r="M8" s="17">
        <f t="shared" ca="1" si="18"/>
        <v>2.9211869733608859E-2</v>
      </c>
      <c r="N8" s="7">
        <f t="shared" ca="1" si="19"/>
        <v>2.9211869733608857E-4</v>
      </c>
      <c r="O8" s="9">
        <f t="shared" si="7"/>
        <v>0.76763589779523556</v>
      </c>
      <c r="P8" s="31">
        <f t="shared" ca="1" si="8"/>
        <v>0.60011596799615474</v>
      </c>
      <c r="Q8" s="9">
        <f t="shared" si="9"/>
        <v>7.5355892295033838E-2</v>
      </c>
      <c r="R8" s="40">
        <f t="shared" ca="1" si="10"/>
        <v>5.8911098840913126E-2</v>
      </c>
      <c r="S8" s="31">
        <f t="shared" ca="1" si="11"/>
        <v>0.43496556784502155</v>
      </c>
      <c r="T8" s="6">
        <f t="shared" ca="1" si="12"/>
        <v>0.41762979706896353</v>
      </c>
      <c r="U8" s="9">
        <f t="shared" ca="1" si="13"/>
        <v>2.923408579482745E-2</v>
      </c>
      <c r="V8" s="8">
        <f t="shared" ca="1" si="20"/>
        <v>2054.3565799408893</v>
      </c>
      <c r="W8" s="60">
        <f t="shared" ca="1" si="14"/>
        <v>16325.298108552623</v>
      </c>
      <c r="X8" s="18" t="str">
        <f t="shared" ca="1" si="21"/>
        <v>Good</v>
      </c>
      <c r="Y8" s="33" t="s">
        <v>86</v>
      </c>
    </row>
    <row r="9" spans="1:25" x14ac:dyDescent="0.25">
      <c r="A9" s="18">
        <v>0.08</v>
      </c>
      <c r="B9" s="6">
        <f t="shared" si="0"/>
        <v>2.2619467105846511</v>
      </c>
      <c r="C9" s="6">
        <f t="shared" si="1"/>
        <v>2.5605473870883007</v>
      </c>
      <c r="D9" s="7">
        <f t="shared" ca="1" si="2"/>
        <v>67803.680146249477</v>
      </c>
      <c r="E9" s="8">
        <f t="shared" si="3"/>
        <v>34.946687242991331</v>
      </c>
      <c r="F9" s="8">
        <f t="shared" si="4"/>
        <v>27.94668724547887</v>
      </c>
      <c r="G9" s="6">
        <f t="shared" ca="1" si="15"/>
        <v>7</v>
      </c>
      <c r="H9" s="8">
        <f t="shared" si="5"/>
        <v>6.9999999975124609</v>
      </c>
      <c r="I9" s="8">
        <f t="shared" ca="1" si="16"/>
        <v>2.4875390636225347E-9</v>
      </c>
      <c r="J9" s="13">
        <f t="shared" ca="1" si="17"/>
        <v>3.5536272337464783E-10</v>
      </c>
      <c r="K9" s="54">
        <v>0.35126612436383514</v>
      </c>
      <c r="L9" s="13">
        <f t="shared" si="6"/>
        <v>-3.6174981823861824E-3</v>
      </c>
      <c r="M9" s="17">
        <f t="shared" ca="1" si="18"/>
        <v>2.5015550719058297E-2</v>
      </c>
      <c r="N9" s="7">
        <f t="shared" ca="1" si="19"/>
        <v>2.5015550719058294E-4</v>
      </c>
      <c r="O9" s="9">
        <f t="shared" si="7"/>
        <v>0.7676358975897164</v>
      </c>
      <c r="P9" s="31">
        <f t="shared" ca="1" si="8"/>
        <v>0.62894105177643445</v>
      </c>
      <c r="Q9" s="9">
        <f t="shared" si="9"/>
        <v>7.5355892276102177E-2</v>
      </c>
      <c r="R9" s="40">
        <f t="shared" ca="1" si="10"/>
        <v>6.1740747526914927E-2</v>
      </c>
      <c r="S9" s="31">
        <f t="shared" ca="1" si="11"/>
        <v>0.48016782969745514</v>
      </c>
      <c r="T9" s="6">
        <f t="shared" ca="1" si="12"/>
        <v>0.41087421656568518</v>
      </c>
      <c r="U9" s="9">
        <f t="shared" ca="1" si="13"/>
        <v>3.2869937325254818E-2</v>
      </c>
      <c r="V9" s="8">
        <f t="shared" ca="1" si="20"/>
        <v>2514.2003022035042</v>
      </c>
      <c r="W9" s="60">
        <f t="shared" ca="1" si="14"/>
        <v>17770.767211914052</v>
      </c>
      <c r="X9" s="18" t="str">
        <f t="shared" ca="1" si="21"/>
        <v>Good</v>
      </c>
      <c r="Y9" s="33" t="s">
        <v>87</v>
      </c>
    </row>
    <row r="10" spans="1:25" x14ac:dyDescent="0.25">
      <c r="A10" s="18">
        <v>0.09</v>
      </c>
      <c r="B10" s="6">
        <f t="shared" si="0"/>
        <v>2.5446900494077322</v>
      </c>
      <c r="C10" s="6">
        <f t="shared" si="1"/>
        <v>2.8134405000914318</v>
      </c>
      <c r="D10" s="7">
        <f t="shared" ca="1" si="2"/>
        <v>74500.327836395241</v>
      </c>
      <c r="E10" s="8">
        <f t="shared" si="3"/>
        <v>32.247168171471294</v>
      </c>
      <c r="F10" s="8">
        <f t="shared" si="4"/>
        <v>25.247168176997494</v>
      </c>
      <c r="G10" s="6">
        <f t="shared" ca="1" si="15"/>
        <v>7</v>
      </c>
      <c r="H10" s="8">
        <f t="shared" si="5"/>
        <v>6.9999999944738001</v>
      </c>
      <c r="I10" s="8">
        <f t="shared" ca="1" si="16"/>
        <v>5.5261999420963548E-9</v>
      </c>
      <c r="J10" s="13">
        <f t="shared" ca="1" si="17"/>
        <v>7.8945713458519357E-10</v>
      </c>
      <c r="K10" s="54">
        <v>0.35675644779437521</v>
      </c>
      <c r="L10" s="13">
        <f t="shared" si="6"/>
        <v>-1.9304136555357804E-2</v>
      </c>
      <c r="M10" s="17">
        <f t="shared" ca="1" si="18"/>
        <v>1.8475208614068026E-2</v>
      </c>
      <c r="N10" s="7">
        <f t="shared" ca="1" si="19"/>
        <v>1.8475208614068022E-4</v>
      </c>
      <c r="O10" s="9">
        <f t="shared" si="7"/>
        <v>0.76763589725648995</v>
      </c>
      <c r="P10" s="31">
        <f t="shared" ca="1" si="8"/>
        <v>0.56078844926429783</v>
      </c>
      <c r="Q10" s="9">
        <f t="shared" si="9"/>
        <v>7.5355892245406578E-2</v>
      </c>
      <c r="R10" s="40">
        <f t="shared" ca="1" si="10"/>
        <v>5.5050466121061542E-2</v>
      </c>
      <c r="S10" s="31">
        <f t="shared" ca="1" si="11"/>
        <v>0.44491575645863873</v>
      </c>
      <c r="T10" s="6">
        <f t="shared" ca="1" si="12"/>
        <v>0.34578057826205238</v>
      </c>
      <c r="U10" s="9">
        <f t="shared" ca="1" si="13"/>
        <v>3.1120252043584713E-2</v>
      </c>
      <c r="V10" s="8">
        <f t="shared" ca="1" si="20"/>
        <v>3035.3565200735175</v>
      </c>
      <c r="W10" s="60">
        <f t="shared" ca="1" si="14"/>
        <v>19276.764433262699</v>
      </c>
      <c r="X10" s="18" t="str">
        <f t="shared" ca="1" si="21"/>
        <v>Good</v>
      </c>
      <c r="Y10" s="33" t="s">
        <v>88</v>
      </c>
    </row>
    <row r="11" spans="1:25" x14ac:dyDescent="0.25">
      <c r="A11" s="18">
        <v>0.1</v>
      </c>
      <c r="B11" s="6">
        <f t="shared" si="0"/>
        <v>2.8274333882308138</v>
      </c>
      <c r="C11" s="6">
        <f t="shared" si="1"/>
        <v>3.0715435150559691</v>
      </c>
      <c r="D11" s="7">
        <f t="shared" ca="1" si="2"/>
        <v>81334.934514515917</v>
      </c>
      <c r="E11" s="8">
        <f t="shared" si="3"/>
        <v>29.997007662754907</v>
      </c>
      <c r="F11" s="8">
        <f t="shared" si="4"/>
        <v>22.997007671790534</v>
      </c>
      <c r="G11" s="6">
        <f t="shared" ca="1" si="15"/>
        <v>7</v>
      </c>
      <c r="H11" s="8">
        <f t="shared" si="5"/>
        <v>6.9999999909643726</v>
      </c>
      <c r="I11" s="8">
        <f t="shared" ca="1" si="16"/>
        <v>9.0356273574343504E-9</v>
      </c>
      <c r="J11" s="13">
        <f t="shared" ca="1" si="17"/>
        <v>1.2908039082049072E-9</v>
      </c>
      <c r="K11" s="54">
        <v>0.36271612129959924</v>
      </c>
      <c r="L11" s="13">
        <f t="shared" si="6"/>
        <v>-3.6331775141712173E-2</v>
      </c>
      <c r="M11" s="17">
        <f t="shared" ca="1" si="18"/>
        <v>0</v>
      </c>
      <c r="N11" s="7">
        <f t="shared" ca="1" si="19"/>
        <v>0</v>
      </c>
      <c r="O11" s="9">
        <f t="shared" si="7"/>
        <v>0.76763589687163825</v>
      </c>
      <c r="P11" s="44">
        <f t="shared" ca="1" si="8"/>
        <v>0</v>
      </c>
      <c r="Q11" s="45">
        <f t="shared" si="9"/>
        <v>7.5355892209955463E-2</v>
      </c>
      <c r="R11" s="45">
        <f t="shared" ca="1" si="10"/>
        <v>0</v>
      </c>
      <c r="S11" s="44">
        <f t="shared" ca="1" si="11"/>
        <v>0</v>
      </c>
      <c r="T11" s="6">
        <f t="shared" ca="1" si="12"/>
        <v>0</v>
      </c>
      <c r="U11" s="9">
        <f t="shared" ca="1" si="13"/>
        <v>0</v>
      </c>
      <c r="V11" s="8" t="e">
        <f t="shared" ca="1" si="20"/>
        <v>#DIV/0!</v>
      </c>
      <c r="W11" s="60">
        <f t="shared" ca="1" si="14"/>
        <v>20804.800638338398</v>
      </c>
      <c r="X11" s="18" t="e">
        <f t="shared" ca="1" si="21"/>
        <v>#DIV/0!</v>
      </c>
    </row>
    <row r="12" spans="1:25" x14ac:dyDescent="0.25">
      <c r="B12" s="6"/>
      <c r="C12" s="6"/>
      <c r="D12" s="7"/>
      <c r="E12" s="8"/>
      <c r="F12" s="8"/>
      <c r="G12" s="8"/>
      <c r="H12" s="8"/>
      <c r="I12" s="8"/>
      <c r="J12" s="8"/>
      <c r="N12" s="11">
        <f ca="1">SUM(N3:N11)</f>
        <v>2.4129245326667782E-3</v>
      </c>
      <c r="P12" s="12">
        <f ca="1">SUM(P3:P11)</f>
        <v>3.6387381950571496</v>
      </c>
      <c r="R12" s="12">
        <f ca="1">SUM(R3:R11)</f>
        <v>0.35720106929803064</v>
      </c>
      <c r="S12" s="12">
        <f ca="1">SUM(S3:S11)</f>
        <v>2.3321190025949132</v>
      </c>
      <c r="T12" s="12">
        <f ca="1">SUM(T3:T11)</f>
        <v>2.7258036770798242</v>
      </c>
      <c r="U12" s="12">
        <f ca="1">SUM(U3:U11)</f>
        <v>0.15963134272246832</v>
      </c>
      <c r="W12" s="56"/>
    </row>
    <row r="13" spans="1:25" x14ac:dyDescent="0.25">
      <c r="B13" s="6"/>
      <c r="C13" s="6"/>
      <c r="D13" s="7"/>
      <c r="E13" s="8"/>
      <c r="F13" s="8"/>
      <c r="G13" s="8"/>
      <c r="H13" s="8"/>
      <c r="K13" s="11"/>
      <c r="M13" s="12"/>
      <c r="N13" s="6"/>
      <c r="O13" s="12"/>
      <c r="P13" s="12"/>
      <c r="Q13" s="9"/>
      <c r="R13" s="12"/>
      <c r="S13" s="12"/>
      <c r="U13" s="56"/>
    </row>
    <row r="14" spans="1:25" x14ac:dyDescent="0.25">
      <c r="A14" s="84" t="s">
        <v>1</v>
      </c>
      <c r="B14" s="84"/>
      <c r="C14" s="84"/>
      <c r="D14" s="7"/>
      <c r="E14" s="82" t="s">
        <v>148</v>
      </c>
      <c r="F14" s="83"/>
      <c r="G14" s="8"/>
      <c r="H14" s="25" t="s">
        <v>26</v>
      </c>
      <c r="I14" s="25" t="s">
        <v>53</v>
      </c>
      <c r="J14" s="25" t="s">
        <v>27</v>
      </c>
      <c r="K14" s="25" t="s">
        <v>28</v>
      </c>
      <c r="L14" s="25" t="s">
        <v>29</v>
      </c>
      <c r="M14" s="26" t="s">
        <v>31</v>
      </c>
      <c r="O14" s="85" t="s">
        <v>77</v>
      </c>
      <c r="P14" s="85"/>
      <c r="Q14" s="85"/>
      <c r="R14" s="50" t="s">
        <v>10</v>
      </c>
      <c r="S14" s="9"/>
      <c r="T14" s="32" t="s">
        <v>82</v>
      </c>
      <c r="U14" s="48" t="s">
        <v>107</v>
      </c>
    </row>
    <row r="15" spans="1:25" x14ac:dyDescent="0.25">
      <c r="A15" s="20" t="s">
        <v>8</v>
      </c>
      <c r="B15" s="20">
        <f ca="1">0.01*VLOOKUP(LEFT($O$31,SEARCH("-",$O$31)-1),'Summary+ellip'!$A$2:$C$6,3,0)</f>
        <v>0.1</v>
      </c>
      <c r="C15" s="20" t="s">
        <v>9</v>
      </c>
      <c r="D15" s="7"/>
      <c r="E15" s="10" t="s">
        <v>31</v>
      </c>
      <c r="F15" s="10" t="s">
        <v>32</v>
      </c>
      <c r="G15" s="8"/>
      <c r="H15" s="10">
        <v>0.5</v>
      </c>
      <c r="I15" s="10">
        <v>999.1</v>
      </c>
      <c r="J15" s="23">
        <v>1.1379999999999999E-3</v>
      </c>
      <c r="K15" s="23">
        <f>J15/I15</f>
        <v>1.1390251226103492E-6</v>
      </c>
      <c r="L15" s="34">
        <f ca="1">B21</f>
        <v>3.0161556658334726E-2</v>
      </c>
      <c r="M15" s="14">
        <f ca="1">H15*L15/K15</f>
        <v>13240.075244877957</v>
      </c>
      <c r="O15" s="10" t="s">
        <v>65</v>
      </c>
      <c r="P15" s="20" t="s">
        <v>64</v>
      </c>
      <c r="Q15" s="20" t="s">
        <v>66</v>
      </c>
      <c r="R15" s="20" t="s">
        <v>78</v>
      </c>
      <c r="T15" s="35">
        <f ca="1">S12*B16</f>
        <v>2.7985428031138957</v>
      </c>
      <c r="U15" s="49">
        <f ca="1">B24</f>
        <v>1.2599224043293036</v>
      </c>
    </row>
    <row r="16" spans="1:25" x14ac:dyDescent="0.25">
      <c r="A16" s="20" t="s">
        <v>13</v>
      </c>
      <c r="B16" s="20">
        <v>1.2</v>
      </c>
      <c r="C16" s="20" t="s">
        <v>14</v>
      </c>
      <c r="E16" s="14">
        <v>25000</v>
      </c>
      <c r="F16" s="63">
        <f ca="1">IF(RIGHT($A$1,4)*1=2411,VLOOKUP(E16,AofAs!$B$5:$D$10,3,0),VLOOKUP(E16,AofAs!$B$13:$D$18,3,0))</f>
        <v>7</v>
      </c>
      <c r="H16" s="10">
        <v>3</v>
      </c>
      <c r="I16" s="10">
        <v>999.1</v>
      </c>
      <c r="J16" s="23">
        <v>1.1379999999999999E-3</v>
      </c>
      <c r="K16" s="23">
        <f>J16/I16</f>
        <v>1.1390251226103492E-6</v>
      </c>
      <c r="L16" s="34">
        <f ca="1">L15</f>
        <v>3.0161556658334726E-2</v>
      </c>
      <c r="M16" s="14">
        <f ca="1">H16*L16/K16</f>
        <v>79440.451469267733</v>
      </c>
      <c r="O16" s="20">
        <v>2</v>
      </c>
      <c r="P16" s="21">
        <f ca="1">SQRT(($P$29-(O16*2-$P$30)^2)/$P$27)</f>
        <v>2.1081851067789197</v>
      </c>
      <c r="Q16" s="21">
        <f ca="1">-SQRT(($P$29-(O16*2-$P$30)^2)/$P$28)</f>
        <v>-1.2649110640673518</v>
      </c>
      <c r="R16" s="42">
        <f ca="1">(P16-Q16)*0.01</f>
        <v>3.3730961708462716E-2</v>
      </c>
      <c r="T16" s="32" t="s">
        <v>83</v>
      </c>
      <c r="U16" s="48" t="s">
        <v>108</v>
      </c>
    </row>
    <row r="17" spans="1:24" x14ac:dyDescent="0.25">
      <c r="A17" s="20" t="s">
        <v>15</v>
      </c>
      <c r="B17" s="4">
        <v>4.5</v>
      </c>
      <c r="C17" s="20" t="s">
        <v>16</v>
      </c>
      <c r="E17" s="14">
        <v>50000</v>
      </c>
      <c r="F17" s="63">
        <f ca="1">IF(RIGHT($A$1,4)*1=2411,VLOOKUP(E17,AofAs!$B$5:$D$10,3,0),VLOOKUP(E17,AofAs!$B$13:$D$18,3,0))</f>
        <v>7</v>
      </c>
      <c r="H17" s="8"/>
      <c r="O17" s="10">
        <v>3</v>
      </c>
      <c r="P17" s="21">
        <f t="shared" ref="P17:P24" ca="1" si="22">SQRT(($P$29-(O17*2-$P$30)^2)/$P$27)</f>
        <v>2.1602468994692869</v>
      </c>
      <c r="Q17" s="21">
        <f t="shared" ref="Q17:Q24" ca="1" si="23">-SQRT(($P$29-(O17*2-$P$30)^2)/$P$28)</f>
        <v>-1.2961481396815719</v>
      </c>
      <c r="R17" s="42">
        <f t="shared" ref="R17:R24" ca="1" si="24">(P17-Q17)*0.01</f>
        <v>3.4563950391508592E-2</v>
      </c>
      <c r="T17" s="36">
        <f ca="1">U12*B18</f>
        <v>4.5134698822162287</v>
      </c>
      <c r="U17" s="49">
        <f>B23</f>
        <v>0.35277827321220506</v>
      </c>
    </row>
    <row r="18" spans="1:24" x14ac:dyDescent="0.25">
      <c r="A18" s="20" t="s">
        <v>17</v>
      </c>
      <c r="B18" s="21">
        <f>2*PI()*B17</f>
        <v>28.274333882308138</v>
      </c>
      <c r="C18" s="20" t="s">
        <v>18</v>
      </c>
      <c r="E18" s="14">
        <v>100000</v>
      </c>
      <c r="F18" s="63">
        <f ca="1">IF(RIGHT($A$1,4)*1=2411,VLOOKUP(E18,AofAs!$B$5:$D$10,3,0),VLOOKUP(E18,AofAs!$B$13:$D$18,3,0))</f>
        <v>6.5</v>
      </c>
      <c r="H18" s="8"/>
      <c r="O18" s="10">
        <v>4</v>
      </c>
      <c r="P18" s="21">
        <f t="shared" ca="1" si="22"/>
        <v>2.1602468994692869</v>
      </c>
      <c r="Q18" s="21">
        <f t="shared" ca="1" si="23"/>
        <v>-1.2961481396815719</v>
      </c>
      <c r="R18" s="42">
        <f t="shared" ca="1" si="24"/>
        <v>3.4563950391508592E-2</v>
      </c>
      <c r="T18" s="32" t="s">
        <v>84</v>
      </c>
      <c r="V18" s="6"/>
      <c r="W18" s="9"/>
      <c r="X18" s="8"/>
    </row>
    <row r="19" spans="1:24" x14ac:dyDescent="0.25">
      <c r="A19" s="20" t="s">
        <v>19</v>
      </c>
      <c r="B19" s="21">
        <v>0.04</v>
      </c>
      <c r="C19" s="20" t="s">
        <v>9</v>
      </c>
      <c r="D19" s="7"/>
      <c r="E19" s="14">
        <v>200000</v>
      </c>
      <c r="F19" s="63">
        <f ca="1">IF(RIGHT($A$1,4)*1=2411,VLOOKUP(E19,AofAs!$B$5:$D$10,3,0),VLOOKUP(E19,AofAs!$B$13:$D$18,3,0))</f>
        <v>5.5</v>
      </c>
      <c r="G19" s="8"/>
      <c r="H19" s="55" t="s">
        <v>125</v>
      </c>
      <c r="I19" s="14">
        <f>Pressure!$D$4</f>
        <v>3500000000</v>
      </c>
      <c r="J19" s="10" t="s">
        <v>126</v>
      </c>
      <c r="O19" s="10">
        <v>5</v>
      </c>
      <c r="P19" s="21">
        <f t="shared" ca="1" si="22"/>
        <v>2.1081851067789197</v>
      </c>
      <c r="Q19" s="21">
        <f t="shared" ca="1" si="23"/>
        <v>-1.2649110640673518</v>
      </c>
      <c r="R19" s="42">
        <f t="shared" ca="1" si="24"/>
        <v>3.3730961708462716E-2</v>
      </c>
      <c r="T19" s="37">
        <f ca="1">T15/T17</f>
        <v>0.62004242326742631</v>
      </c>
    </row>
    <row r="20" spans="1:24" x14ac:dyDescent="0.25">
      <c r="A20" s="20" t="s">
        <v>20</v>
      </c>
      <c r="B20" s="20">
        <f ca="1">2*(B15+B19)</f>
        <v>0.28000000000000003</v>
      </c>
      <c r="C20" s="20" t="s">
        <v>9</v>
      </c>
      <c r="D20" s="7"/>
      <c r="E20" s="14">
        <v>500000</v>
      </c>
      <c r="F20" s="63">
        <f ca="1">IF(RIGHT($A$1,4)*1=2411,VLOOKUP(E20,AofAs!$B$5:$D$10,3,0),VLOOKUP(E20,AofAs!$B$13:$D$18,3,0))</f>
        <v>5</v>
      </c>
      <c r="G20" s="8"/>
      <c r="H20" s="55" t="s">
        <v>127</v>
      </c>
      <c r="I20" s="14">
        <f ca="1">VLOOKUP(O31,Pressure!$F$2:$M$11,6,0)</f>
        <v>4.1593749999999989E-10</v>
      </c>
      <c r="J20" s="10" t="s">
        <v>128</v>
      </c>
      <c r="O20" s="10">
        <v>6</v>
      </c>
      <c r="P20" s="21">
        <f t="shared" ca="1" si="22"/>
        <v>2</v>
      </c>
      <c r="Q20" s="21">
        <f t="shared" ca="1" si="23"/>
        <v>-1.2</v>
      </c>
      <c r="R20" s="42">
        <f t="shared" ca="1" si="24"/>
        <v>3.2000000000000001E-2</v>
      </c>
      <c r="T20" s="32" t="s">
        <v>92</v>
      </c>
      <c r="V20" s="13"/>
    </row>
    <row r="21" spans="1:24" x14ac:dyDescent="0.25">
      <c r="A21" s="20" t="s">
        <v>21</v>
      </c>
      <c r="B21" s="43">
        <f ca="1">AVERAGE(M3:M10)</f>
        <v>3.0161556658334726E-2</v>
      </c>
      <c r="C21" s="20" t="s">
        <v>9</v>
      </c>
      <c r="D21" s="7"/>
      <c r="E21" s="14">
        <v>1000000</v>
      </c>
      <c r="F21" s="63">
        <f ca="1">IF(RIGHT($A$1,4)*1=2411,VLOOKUP(E21,AofAs!$B$5:$D$10,3,0),VLOOKUP(E21,AofAs!$B$13:$D$18,3,0))</f>
        <v>4.5</v>
      </c>
      <c r="G21" s="8"/>
      <c r="H21" s="55" t="s">
        <v>129</v>
      </c>
      <c r="I21" s="14">
        <f ca="1">VLOOKUP(O31,Pressure!$F$2:$M$11,7,0)</f>
        <v>5.0000000000000001E-3</v>
      </c>
      <c r="J21" s="10" t="s">
        <v>9</v>
      </c>
      <c r="O21" s="10">
        <v>7</v>
      </c>
      <c r="P21" s="21">
        <f t="shared" ca="1" si="22"/>
        <v>1.8257418583505538</v>
      </c>
      <c r="Q21" s="21">
        <f t="shared" ca="1" si="23"/>
        <v>-1.0954451150103321</v>
      </c>
      <c r="R21" s="42">
        <f t="shared" ca="1" si="24"/>
        <v>2.9211869733608859E-2</v>
      </c>
      <c r="T21" s="35">
        <f>O3/Q3</f>
        <v>10.186806556274279</v>
      </c>
    </row>
    <row r="22" spans="1:24" x14ac:dyDescent="0.25">
      <c r="A22" s="20" t="s">
        <v>57</v>
      </c>
      <c r="B22" s="4">
        <v>0.35</v>
      </c>
      <c r="C22" s="20" t="s">
        <v>9</v>
      </c>
      <c r="H22" s="55" t="s">
        <v>131</v>
      </c>
      <c r="I22" s="10">
        <f>A11-A3</f>
        <v>0.08</v>
      </c>
      <c r="J22" s="10" t="s">
        <v>9</v>
      </c>
      <c r="O22" s="10">
        <v>8</v>
      </c>
      <c r="P22" s="21">
        <f t="shared" ca="1" si="22"/>
        <v>1.5634719199411433</v>
      </c>
      <c r="Q22" s="21">
        <f t="shared" ca="1" si="23"/>
        <v>-0.93808315196468595</v>
      </c>
      <c r="R22" s="42">
        <f t="shared" ca="1" si="24"/>
        <v>2.5015550719058297E-2</v>
      </c>
    </row>
    <row r="23" spans="1:24" x14ac:dyDescent="0.25">
      <c r="A23" s="20" t="s">
        <v>52</v>
      </c>
      <c r="B23" s="22">
        <f>AVERAGE(K3:K11)</f>
        <v>0.35277827321220506</v>
      </c>
      <c r="C23" s="20" t="s">
        <v>9</v>
      </c>
      <c r="O23" s="10">
        <v>9</v>
      </c>
      <c r="P23" s="21">
        <f t="shared" ca="1" si="22"/>
        <v>1.1547005383792515</v>
      </c>
      <c r="Q23" s="21">
        <f t="shared" ca="1" si="23"/>
        <v>-0.69282032302755092</v>
      </c>
      <c r="R23" s="42">
        <f t="shared" ca="1" si="24"/>
        <v>1.8475208614068026E-2</v>
      </c>
    </row>
    <row r="24" spans="1:24" x14ac:dyDescent="0.25">
      <c r="A24" s="20" t="s">
        <v>23</v>
      </c>
      <c r="B24" s="21">
        <f ca="1">B23/B20</f>
        <v>1.2599224043293036</v>
      </c>
      <c r="C24" s="20"/>
      <c r="D24" s="18" t="s">
        <v>91</v>
      </c>
      <c r="O24" s="10">
        <v>10</v>
      </c>
      <c r="P24" s="21">
        <f t="shared" ca="1" si="22"/>
        <v>0</v>
      </c>
      <c r="Q24" s="21">
        <f t="shared" ca="1" si="23"/>
        <v>0</v>
      </c>
      <c r="R24" s="42">
        <f t="shared" ca="1" si="24"/>
        <v>0</v>
      </c>
    </row>
    <row r="25" spans="1:24" x14ac:dyDescent="0.25">
      <c r="A25" s="20" t="s">
        <v>24</v>
      </c>
      <c r="B25" s="20">
        <v>0.06</v>
      </c>
      <c r="C25" s="10"/>
      <c r="R25" s="11">
        <f ca="1">AVERAGE(R16:R24)</f>
        <v>2.6810272585186423E-2</v>
      </c>
      <c r="S25" s="2" t="s">
        <v>79</v>
      </c>
    </row>
    <row r="26" spans="1:24" x14ac:dyDescent="0.25">
      <c r="A26" s="20" t="s">
        <v>25</v>
      </c>
      <c r="B26" s="20">
        <v>0.04</v>
      </c>
      <c r="C26" s="10"/>
      <c r="O26" s="18" t="s">
        <v>46</v>
      </c>
      <c r="P26" s="1">
        <f ca="1">VLOOKUP($O$31,'Summary+ellip'!$A$16:$F$20,2,0)</f>
        <v>1</v>
      </c>
    </row>
    <row r="27" spans="1:24" x14ac:dyDescent="0.25">
      <c r="O27" s="18" t="s">
        <v>49</v>
      </c>
      <c r="P27" s="1">
        <f ca="1">VLOOKUP($O$31,'Summary+ellip'!$A$16:$F$20,3,0)</f>
        <v>36</v>
      </c>
    </row>
    <row r="28" spans="1:24" x14ac:dyDescent="0.25">
      <c r="O28" s="18" t="s">
        <v>50</v>
      </c>
      <c r="P28" s="1">
        <f ca="1">VLOOKUP($O$31,'Summary+ellip'!$A$16:$F$20,4,0)</f>
        <v>100</v>
      </c>
    </row>
    <row r="29" spans="1:24" x14ac:dyDescent="0.25">
      <c r="O29" s="18" t="s">
        <v>47</v>
      </c>
      <c r="P29" s="1">
        <f ca="1">VLOOKUP($O$31,'Summary+ellip'!$A$16:$F$20,5,0)</f>
        <v>169</v>
      </c>
    </row>
    <row r="30" spans="1:24" x14ac:dyDescent="0.25">
      <c r="O30" s="18" t="s">
        <v>67</v>
      </c>
      <c r="P30" s="1">
        <f ca="1">VLOOKUP($O$31,'Summary+ellip'!$A$16:$F$20,6,0)</f>
        <v>7</v>
      </c>
    </row>
    <row r="31" spans="1:24" x14ac:dyDescent="0.25">
      <c r="O31" s="18" t="str">
        <f ca="1">TEXT(REPLACE(CELL("filename",O31),1,SEARCH("]",CELL("filename",O31)),""),"mmmm yyyy")</f>
        <v>Kevin-half</v>
      </c>
    </row>
  </sheetData>
  <mergeCells count="6">
    <mergeCell ref="N1:X1"/>
    <mergeCell ref="A14:C14"/>
    <mergeCell ref="E14:F14"/>
    <mergeCell ref="O14:Q14"/>
    <mergeCell ref="B1:F1"/>
    <mergeCell ref="L1:L2"/>
  </mergeCells>
  <conditionalFormatting sqref="H17:H18 H13 J12">
    <cfRule type="cellIs" dxfId="5" priority="3" operator="greaterThan">
      <formula>0</formula>
    </cfRule>
  </conditionalFormatting>
  <conditionalFormatting sqref="U15">
    <cfRule type="cellIs" dxfId="4" priority="1" operator="greaterThan">
      <formula>1.1</formula>
    </cfRule>
    <cfRule type="cellIs" dxfId="3" priority="2" operator="lessThan">
      <formula>0.8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65"/>
  <sheetViews>
    <sheetView topLeftCell="A16" zoomScale="78" zoomScaleNormal="70" workbookViewId="0">
      <selection activeCell="B33" sqref="B33"/>
    </sheetView>
  </sheetViews>
  <sheetFormatPr defaultRowHeight="15" x14ac:dyDescent="0.25"/>
  <cols>
    <col min="1" max="1" width="11.5703125" style="18" customWidth="1"/>
    <col min="2" max="2" width="6.85546875" style="18" customWidth="1"/>
    <col min="3" max="3" width="9.140625" style="18"/>
    <col min="4" max="4" width="9.7109375" style="18" customWidth="1"/>
    <col min="5" max="5" width="9.85546875" style="18" customWidth="1"/>
    <col min="6" max="6" width="10.140625" style="18" customWidth="1"/>
    <col min="7" max="7" width="8.5703125" style="18" bestFit="1" customWidth="1"/>
    <col min="8" max="8" width="7.85546875" style="18" customWidth="1"/>
    <col min="9" max="9" width="9.140625" style="18"/>
    <col min="10" max="10" width="9.7109375" style="18" customWidth="1"/>
    <col min="11" max="11" width="9.85546875" style="18" bestFit="1" customWidth="1"/>
    <col min="12" max="12" width="9.28515625" style="18" customWidth="1"/>
    <col min="13" max="13" width="9" style="18" customWidth="1"/>
    <col min="14" max="14" width="15.140625" style="18" bestFit="1" customWidth="1"/>
    <col min="15" max="15" width="8.42578125" style="18" customWidth="1"/>
    <col min="16" max="16" width="7.140625" style="1" bestFit="1" customWidth="1"/>
    <col min="17" max="17" width="7" style="18" customWidth="1"/>
    <col min="18" max="18" width="11.28515625" style="18" bestFit="1" customWidth="1"/>
    <col min="19" max="19" width="9.85546875" style="18" bestFit="1" customWidth="1"/>
    <col min="20" max="20" width="13.85546875" style="18" bestFit="1" customWidth="1"/>
    <col min="21" max="21" width="12.85546875" style="18" bestFit="1" customWidth="1"/>
    <col min="22" max="22" width="12.7109375" style="18" bestFit="1" customWidth="1"/>
    <col min="23" max="23" width="11.7109375" style="18" bestFit="1" customWidth="1"/>
    <col min="24" max="24" width="8.42578125" style="18" bestFit="1" customWidth="1"/>
    <col min="25" max="25" width="11.7109375" style="18" bestFit="1" customWidth="1"/>
    <col min="26" max="16384" width="9.140625" style="18"/>
  </cols>
  <sheetData>
    <row r="1" spans="1:25" x14ac:dyDescent="0.25">
      <c r="A1" s="24" t="str">
        <f ca="1">CONCATENATE("NACA "&amp;VLOOKUP(LEFT($O$65,SEARCH("-",$O$65)-1),'Summary+ellip'!$A$2:$F$6,6,0))</f>
        <v>NACA 2411</v>
      </c>
      <c r="B1" s="88" t="s">
        <v>0</v>
      </c>
      <c r="C1" s="88"/>
      <c r="D1" s="88"/>
      <c r="E1" s="88"/>
      <c r="F1" s="88"/>
      <c r="G1" s="79"/>
      <c r="H1" s="62"/>
      <c r="I1" s="62"/>
      <c r="L1" s="87" t="s">
        <v>152</v>
      </c>
      <c r="M1" s="18" t="s">
        <v>93</v>
      </c>
      <c r="N1" s="86" t="s">
        <v>81</v>
      </c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5" x14ac:dyDescent="0.25">
      <c r="A2" s="2" t="s">
        <v>2</v>
      </c>
      <c r="B2" s="2" t="s">
        <v>3</v>
      </c>
      <c r="C2" s="2" t="s">
        <v>4</v>
      </c>
      <c r="D2" s="2" t="s">
        <v>5</v>
      </c>
      <c r="E2" s="2" t="s">
        <v>54</v>
      </c>
      <c r="F2" s="2" t="s">
        <v>55</v>
      </c>
      <c r="G2" s="2" t="s">
        <v>136</v>
      </c>
      <c r="H2" s="2" t="s">
        <v>56</v>
      </c>
      <c r="I2" s="2" t="s">
        <v>138</v>
      </c>
      <c r="J2" s="3" t="s">
        <v>6</v>
      </c>
      <c r="K2" s="39" t="s">
        <v>7</v>
      </c>
      <c r="L2" s="87"/>
      <c r="M2" s="16" t="s">
        <v>90</v>
      </c>
      <c r="N2" s="16" t="s">
        <v>80</v>
      </c>
      <c r="O2" s="2" t="s">
        <v>11</v>
      </c>
      <c r="P2" s="16" t="s">
        <v>58</v>
      </c>
      <c r="Q2" s="16" t="s">
        <v>12</v>
      </c>
      <c r="R2" s="16" t="s">
        <v>59</v>
      </c>
      <c r="S2" s="16" t="s">
        <v>60</v>
      </c>
      <c r="T2" s="2" t="s">
        <v>61</v>
      </c>
      <c r="U2" s="2" t="s">
        <v>62</v>
      </c>
      <c r="V2" s="2" t="s">
        <v>63</v>
      </c>
      <c r="W2" s="2" t="s">
        <v>124</v>
      </c>
      <c r="X2" s="2" t="s">
        <v>132</v>
      </c>
    </row>
    <row r="3" spans="1:25" x14ac:dyDescent="0.25">
      <c r="A3" s="18">
        <v>0.04</v>
      </c>
      <c r="B3" s="6">
        <f t="shared" ref="B3:B13" si="0">A3*$B$34</f>
        <v>0.94247779607693793</v>
      </c>
      <c r="C3" s="6">
        <f t="shared" ref="C3:C13" si="1">SQRT(B3^2+$B$32^2)</f>
        <v>1.5258651303762212</v>
      </c>
      <c r="D3" s="7">
        <f t="shared" ref="D3:D13" ca="1" si="2">C3*$B$37/$K$31</f>
        <v>120688.10054608555</v>
      </c>
      <c r="E3" s="8">
        <f t="shared" ref="E3:E27" si="3">DEGREES(ATAN(K3/(2*PI()*A3)))</f>
        <v>57.85397401289049</v>
      </c>
      <c r="F3" s="8">
        <f t="shared" ref="F3:F13" si="4">DEGREES(ATAN($B$32/B3))</f>
        <v>51.853974012777456</v>
      </c>
      <c r="G3" s="8">
        <f ca="1">VLOOKUP(D3,$E$32:$F$37,2,1)</f>
        <v>6</v>
      </c>
      <c r="H3" s="8">
        <f t="shared" ref="H3:H27" si="5">E3-F3</f>
        <v>6.0000000001130331</v>
      </c>
      <c r="I3" s="8">
        <f ca="1">G3-H3</f>
        <v>-1.1303313840471674E-10</v>
      </c>
      <c r="J3" s="13">
        <f ca="1">(G3-H3)/G3</f>
        <v>-1.8838856400786124E-11</v>
      </c>
      <c r="K3" s="54">
        <v>0.39993618272409398</v>
      </c>
      <c r="L3" s="13">
        <f t="shared" ref="L3:L27" si="6">(K3-$B$38)/$B$38</f>
        <v>-1.5954318976510451E-4</v>
      </c>
      <c r="M3" s="17">
        <f t="shared" ref="M3:M27" ca="1" si="7">R34</f>
        <v>8.9228405732032848E-2</v>
      </c>
      <c r="N3" s="7">
        <f ca="1">M3*($A$4-$A$3)</f>
        <v>8.9228405732032863E-4</v>
      </c>
      <c r="O3" s="9">
        <f t="shared" ref="O3:O27" si="8">2*PI()*RADIANS(H3)</f>
        <v>0.65797362675168602</v>
      </c>
      <c r="P3" s="6">
        <f t="shared" ref="P3:P27" ca="1" si="9">0.5*O3*$I$31*C3^2*N3</f>
        <v>0.6828461733955189</v>
      </c>
      <c r="Q3" s="9">
        <f t="shared" ref="Q3:Q13" si="10">$B$41*O3^2+$B$42</f>
        <v>6.5975757610046024E-2</v>
      </c>
      <c r="R3" s="9">
        <f t="shared" ref="R3:R27" ca="1" si="11">0.5*Q3*$I$31*C3^2*N3</f>
        <v>6.8469755913016572E-2</v>
      </c>
      <c r="S3" s="6">
        <f t="shared" ref="S3:S27" ca="1" si="12">P3*COS(RADIANS(F3+H3))-R3*SIN(RADIANS(F3+H3))</f>
        <v>0.30535505997650897</v>
      </c>
      <c r="T3" s="6">
        <f t="shared" ref="T3:T27" ca="1" si="13">R3*COS(RADIANS(F3+H3))+P3*SIN(RADIANS(F3+H3))</f>
        <v>0.61459359852054563</v>
      </c>
      <c r="U3" s="9">
        <f t="shared" ref="U3:U27" ca="1" si="14">T3*A3</f>
        <v>2.4583743940821825E-2</v>
      </c>
      <c r="V3" s="60">
        <f t="shared" ref="V3:V13" ca="1" si="15">P3/N3</f>
        <v>765.27891291279468</v>
      </c>
      <c r="W3" s="60">
        <f t="shared" ref="W3:W27" ca="1" si="16">24*$I$35*$I$36*$I$37/$I$38^3/(A3^2-4*$I$38*A3+6*$I$38^2)</f>
        <v>29632.376223373616</v>
      </c>
      <c r="X3" s="18" t="str">
        <f ca="1">IF(V3&lt;W3,"Good","Change")</f>
        <v>Good</v>
      </c>
      <c r="Y3" s="9"/>
    </row>
    <row r="4" spans="1:25" x14ac:dyDescent="0.25">
      <c r="A4" s="18">
        <v>0.05</v>
      </c>
      <c r="B4" s="6">
        <f t="shared" si="0"/>
        <v>1.1780972450961724</v>
      </c>
      <c r="C4" s="6">
        <f t="shared" si="1"/>
        <v>1.6816400087126826</v>
      </c>
      <c r="D4" s="7">
        <f t="shared" ca="1" si="2"/>
        <v>133009.09393204076</v>
      </c>
      <c r="E4" s="8">
        <f t="shared" si="3"/>
        <v>51.527690755973872</v>
      </c>
      <c r="F4" s="8">
        <f t="shared" si="4"/>
        <v>45.527690755967662</v>
      </c>
      <c r="G4" s="8">
        <f t="shared" ref="G4:G27" ca="1" si="17">VLOOKUP(D4,$E$32:$F$37,2,1)</f>
        <v>6</v>
      </c>
      <c r="H4" s="8">
        <f t="shared" si="5"/>
        <v>6.0000000000062101</v>
      </c>
      <c r="I4" s="8">
        <f t="shared" ref="I4:I27" ca="1" si="18">G4-H4</f>
        <v>-6.2101435105432756E-12</v>
      </c>
      <c r="J4" s="13">
        <f t="shared" ref="J4:J27" ca="1" si="19">(G4-H4)/G4</f>
        <v>-1.0350239184238792E-12</v>
      </c>
      <c r="K4" s="54">
        <v>0.39534436271918627</v>
      </c>
      <c r="L4" s="13">
        <f t="shared" si="6"/>
        <v>-1.1639093202034378E-2</v>
      </c>
      <c r="M4" s="17">
        <f t="shared" ca="1" si="7"/>
        <v>9.0038012520621005E-2</v>
      </c>
      <c r="N4" s="7">
        <f t="shared" ref="N4:N27" ca="1" si="20">M4*($A$4-$A$3)</f>
        <v>9.003801252062102E-4</v>
      </c>
      <c r="O4" s="9">
        <f t="shared" si="8"/>
        <v>0.65797362673997162</v>
      </c>
      <c r="P4" s="6">
        <f t="shared" ca="1" si="9"/>
        <v>0.83691126229557167</v>
      </c>
      <c r="Q4" s="9">
        <f t="shared" si="10"/>
        <v>6.5975757609121083E-2</v>
      </c>
      <c r="R4" s="9">
        <f t="shared" ca="1" si="11"/>
        <v>8.3918036130310208E-2</v>
      </c>
      <c r="S4" s="6">
        <f t="shared" ca="1" si="12"/>
        <v>0.45497272481104373</v>
      </c>
      <c r="T4" s="6">
        <f t="shared" ca="1" si="13"/>
        <v>0.70743375479485671</v>
      </c>
      <c r="U4" s="9">
        <f t="shared" ca="1" si="14"/>
        <v>3.5371687739742835E-2</v>
      </c>
      <c r="V4" s="60">
        <f t="shared" ca="1" si="15"/>
        <v>929.50881396221121</v>
      </c>
      <c r="W4" s="60">
        <f t="shared" ca="1" si="16"/>
        <v>30491.428782998239</v>
      </c>
      <c r="X4" s="18" t="str">
        <f t="shared" ref="X4:X27" ca="1" si="21">IF(V4&lt;W4,"Good","Change")</f>
        <v>Good</v>
      </c>
      <c r="Y4" s="9"/>
    </row>
    <row r="5" spans="1:25" x14ac:dyDescent="0.25">
      <c r="A5" s="18">
        <v>0.06</v>
      </c>
      <c r="B5" s="6">
        <f t="shared" si="0"/>
        <v>1.4137166941154067</v>
      </c>
      <c r="C5" s="6">
        <f t="shared" si="1"/>
        <v>1.8543448684698849</v>
      </c>
      <c r="D5" s="7">
        <f t="shared" ca="1" si="2"/>
        <v>146669.16195786663</v>
      </c>
      <c r="E5" s="8">
        <f t="shared" si="3"/>
        <v>46.32547509572742</v>
      </c>
      <c r="F5" s="8">
        <f t="shared" si="4"/>
        <v>40.325475095727015</v>
      </c>
      <c r="G5" s="8">
        <f t="shared" ca="1" si="17"/>
        <v>6</v>
      </c>
      <c r="H5" s="8">
        <f t="shared" si="5"/>
        <v>6.000000000000405</v>
      </c>
      <c r="I5" s="8">
        <f t="shared" ca="1" si="18"/>
        <v>-4.0500935938325711E-13</v>
      </c>
      <c r="J5" s="13">
        <f t="shared" ca="1" si="19"/>
        <v>-6.7501559897209518E-14</v>
      </c>
      <c r="K5" s="54">
        <v>0.39485000329174197</v>
      </c>
      <c r="L5" s="13">
        <f t="shared" si="6"/>
        <v>-1.2874991770645133E-2</v>
      </c>
      <c r="M5" s="17">
        <f t="shared" ca="1" si="7"/>
        <v>9.0611874368934281E-2</v>
      </c>
      <c r="N5" s="7">
        <f t="shared" ca="1" si="20"/>
        <v>9.0611874368934299E-4</v>
      </c>
      <c r="O5" s="9">
        <f t="shared" si="8"/>
        <v>0.65797362673933502</v>
      </c>
      <c r="P5" s="6">
        <f t="shared" ca="1" si="9"/>
        <v>1.0241264374104131</v>
      </c>
      <c r="Q5" s="9">
        <f t="shared" si="10"/>
        <v>6.5975757609070818E-2</v>
      </c>
      <c r="R5" s="9">
        <f t="shared" ca="1" si="11"/>
        <v>0.10269031287844979</v>
      </c>
      <c r="S5" s="6">
        <f t="shared" ca="1" si="12"/>
        <v>0.63294840842132005</v>
      </c>
      <c r="T5" s="6">
        <f t="shared" ca="1" si="13"/>
        <v>0.81163820291983335</v>
      </c>
      <c r="U5" s="9">
        <f t="shared" ca="1" si="14"/>
        <v>4.8698292175189999E-2</v>
      </c>
      <c r="V5" s="60">
        <f t="shared" ca="1" si="15"/>
        <v>1130.2342485937234</v>
      </c>
      <c r="W5" s="60">
        <f t="shared" ca="1" si="16"/>
        <v>31380.239292790713</v>
      </c>
      <c r="X5" s="18" t="str">
        <f t="shared" ca="1" si="21"/>
        <v>Good</v>
      </c>
      <c r="Y5" s="9"/>
    </row>
    <row r="6" spans="1:25" x14ac:dyDescent="0.25">
      <c r="A6" s="18">
        <v>7.0000000000000007E-2</v>
      </c>
      <c r="B6" s="6">
        <f t="shared" si="0"/>
        <v>1.6493361431346414</v>
      </c>
      <c r="C6" s="6">
        <f t="shared" si="1"/>
        <v>2.0396837286820362</v>
      </c>
      <c r="D6" s="7">
        <f t="shared" ca="1" si="2"/>
        <v>161328.51457762657</v>
      </c>
      <c r="E6" s="8">
        <f t="shared" si="3"/>
        <v>42.03834163882464</v>
      </c>
      <c r="F6" s="8">
        <f t="shared" si="4"/>
        <v>36.038341661283404</v>
      </c>
      <c r="G6" s="8">
        <f t="shared" ca="1" si="17"/>
        <v>6</v>
      </c>
      <c r="H6" s="8">
        <f t="shared" si="5"/>
        <v>5.9999999775412363</v>
      </c>
      <c r="I6" s="8">
        <f t="shared" ca="1" si="18"/>
        <v>2.2458763737631671E-8</v>
      </c>
      <c r="J6" s="13">
        <f t="shared" ca="1" si="19"/>
        <v>3.7431272896052787E-9</v>
      </c>
      <c r="K6" s="54">
        <v>0.39655164458325676</v>
      </c>
      <c r="L6" s="13">
        <f t="shared" si="6"/>
        <v>-8.6208885418581627E-3</v>
      </c>
      <c r="M6" s="17">
        <f t="shared" ca="1" si="7"/>
        <v>9.0954453565750951E-2</v>
      </c>
      <c r="N6" s="7">
        <f t="shared" ca="1" si="20"/>
        <v>9.0954453565750965E-4</v>
      </c>
      <c r="O6" s="9">
        <f t="shared" si="8"/>
        <v>0.65797362427641148</v>
      </c>
      <c r="P6" s="6">
        <f t="shared" ca="1" si="9"/>
        <v>1.2437614155372103</v>
      </c>
      <c r="Q6" s="9">
        <f t="shared" si="10"/>
        <v>6.5975757414606179E-2</v>
      </c>
      <c r="R6" s="6">
        <f t="shared" ca="1" si="11"/>
        <v>0.12471335993653444</v>
      </c>
      <c r="S6" s="6">
        <f t="shared" ca="1" si="12"/>
        <v>0.84022620121394631</v>
      </c>
      <c r="T6" s="6">
        <f t="shared" ca="1" si="13"/>
        <v>0.92548139458303846</v>
      </c>
      <c r="U6" s="9">
        <f t="shared" ca="1" si="14"/>
        <v>6.4783697620812694E-2</v>
      </c>
      <c r="V6" s="60">
        <f t="shared" ca="1" si="15"/>
        <v>1367.455211677013</v>
      </c>
      <c r="W6" s="60">
        <f t="shared" ca="1" si="16"/>
        <v>32299.603874965665</v>
      </c>
      <c r="X6" s="18" t="str">
        <f t="shared" ca="1" si="21"/>
        <v>Good</v>
      </c>
      <c r="Y6" s="9"/>
    </row>
    <row r="7" spans="1:25" x14ac:dyDescent="0.25">
      <c r="A7" s="18">
        <v>0.08</v>
      </c>
      <c r="B7" s="6">
        <f t="shared" si="0"/>
        <v>1.8849555921538759</v>
      </c>
      <c r="C7" s="6">
        <f t="shared" si="1"/>
        <v>2.2345150669423037</v>
      </c>
      <c r="D7" s="7">
        <f t="shared" ca="1" si="2"/>
        <v>176738.67349231779</v>
      </c>
      <c r="E7" s="8">
        <f t="shared" si="3"/>
        <v>38.481636585252545</v>
      </c>
      <c r="F7" s="8">
        <f t="shared" si="4"/>
        <v>32.481636590529753</v>
      </c>
      <c r="G7" s="8">
        <f t="shared" ca="1" si="17"/>
        <v>6</v>
      </c>
      <c r="H7" s="8">
        <f t="shared" si="5"/>
        <v>5.999999994722792</v>
      </c>
      <c r="I7" s="8">
        <f t="shared" ca="1" si="18"/>
        <v>5.2772080039176217E-9</v>
      </c>
      <c r="J7" s="13">
        <f t="shared" ca="1" si="19"/>
        <v>8.7953466731960361E-10</v>
      </c>
      <c r="K7" s="54">
        <v>0.39956673416222555</v>
      </c>
      <c r="L7" s="13">
        <f t="shared" si="6"/>
        <v>-1.0831645944361923E-3</v>
      </c>
      <c r="M7" s="17">
        <f t="shared" ca="1" si="7"/>
        <v>9.1068360252295921E-2</v>
      </c>
      <c r="N7" s="7">
        <f t="shared" ca="1" si="20"/>
        <v>9.1068360252295939E-4</v>
      </c>
      <c r="O7" s="9">
        <f t="shared" si="8"/>
        <v>0.65797362616057997</v>
      </c>
      <c r="P7" s="6">
        <f t="shared" ca="1" si="9"/>
        <v>1.4945881717088718</v>
      </c>
      <c r="Q7" s="9">
        <f t="shared" si="10"/>
        <v>6.5975757563374163E-2</v>
      </c>
      <c r="R7" s="6">
        <f t="shared" ca="1" si="11"/>
        <v>0.14986404158650271</v>
      </c>
      <c r="S7" s="6">
        <f t="shared" ca="1" si="12"/>
        <v>1.0767200657293166</v>
      </c>
      <c r="T7" s="6">
        <f t="shared" ca="1" si="13"/>
        <v>1.047342796809414</v>
      </c>
      <c r="U7" s="9">
        <f t="shared" ca="1" si="14"/>
        <v>8.378742374475312E-2</v>
      </c>
      <c r="V7" s="60">
        <f t="shared" ca="1" si="15"/>
        <v>1641.1717171235566</v>
      </c>
      <c r="W7" s="60">
        <f t="shared" ca="1" si="16"/>
        <v>33250.282622738996</v>
      </c>
      <c r="X7" s="18" t="str">
        <f t="shared" ca="1" si="21"/>
        <v>Good</v>
      </c>
      <c r="Y7" s="9"/>
    </row>
    <row r="8" spans="1:25" x14ac:dyDescent="0.25">
      <c r="A8" s="18">
        <v>0.09</v>
      </c>
      <c r="B8" s="6">
        <f t="shared" si="0"/>
        <v>2.1205750411731099</v>
      </c>
      <c r="C8" s="6">
        <f t="shared" si="1"/>
        <v>2.4365628465620044</v>
      </c>
      <c r="D8" s="7">
        <f t="shared" ca="1" si="2"/>
        <v>192719.61588127151</v>
      </c>
      <c r="E8" s="8">
        <f t="shared" si="3"/>
        <v>35.504837596210905</v>
      </c>
      <c r="F8" s="8">
        <f t="shared" si="4"/>
        <v>29.504837597557877</v>
      </c>
      <c r="G8" s="8">
        <f t="shared" ca="1" si="17"/>
        <v>6</v>
      </c>
      <c r="H8" s="8">
        <f t="shared" si="5"/>
        <v>5.9999999986530277</v>
      </c>
      <c r="I8" s="8">
        <f t="shared" ca="1" si="18"/>
        <v>1.3469723114667431E-9</v>
      </c>
      <c r="J8" s="13">
        <f t="shared" ca="1" si="19"/>
        <v>2.244953852444572E-10</v>
      </c>
      <c r="K8" s="54">
        <v>0.40342976877001885</v>
      </c>
      <c r="L8" s="13">
        <f t="shared" si="6"/>
        <v>8.5744219250470655E-3</v>
      </c>
      <c r="M8" s="17">
        <f t="shared" ca="1" si="7"/>
        <v>9.0954453565750951E-2</v>
      </c>
      <c r="N8" s="7">
        <f t="shared" ca="1" si="20"/>
        <v>9.0954453565750965E-4</v>
      </c>
      <c r="O8" s="9">
        <f t="shared" si="8"/>
        <v>0.65797362659157843</v>
      </c>
      <c r="P8" s="44">
        <f t="shared" ca="1" si="9"/>
        <v>1.7748704299394118</v>
      </c>
      <c r="Q8" s="45">
        <f t="shared" si="10"/>
        <v>6.5975757597404427E-2</v>
      </c>
      <c r="R8" s="44">
        <f t="shared" ca="1" si="11"/>
        <v>0.1779682596992139</v>
      </c>
      <c r="S8" s="44">
        <f t="shared" ca="1" si="12"/>
        <v>1.3415036060783112</v>
      </c>
      <c r="T8" s="6">
        <f t="shared" ca="1" si="13"/>
        <v>1.1756724966641716</v>
      </c>
      <c r="U8" s="9">
        <f t="shared" ca="1" si="14"/>
        <v>0.10581052469977544</v>
      </c>
      <c r="V8" s="60">
        <f t="shared" ca="1" si="15"/>
        <v>1951.3837534699258</v>
      </c>
      <c r="W8" s="60">
        <f t="shared" ca="1" si="16"/>
        <v>34232.988319408047</v>
      </c>
      <c r="X8" s="18" t="str">
        <f t="shared" ca="1" si="21"/>
        <v>Good</v>
      </c>
      <c r="Y8" s="9"/>
    </row>
    <row r="9" spans="1:25" x14ac:dyDescent="0.25">
      <c r="A9" s="18">
        <v>0.1</v>
      </c>
      <c r="B9" s="6">
        <f t="shared" si="0"/>
        <v>2.3561944901923448</v>
      </c>
      <c r="C9" s="6">
        <f t="shared" si="1"/>
        <v>2.644173306652339</v>
      </c>
      <c r="D9" s="7">
        <f t="shared" ca="1" si="2"/>
        <v>209140.53774585563</v>
      </c>
      <c r="E9" s="8">
        <f t="shared" si="3"/>
        <v>32.489553845550951</v>
      </c>
      <c r="F9" s="8">
        <f t="shared" si="4"/>
        <v>26.989553846797843</v>
      </c>
      <c r="G9" s="8">
        <f t="shared" ca="1" si="17"/>
        <v>5.5</v>
      </c>
      <c r="H9" s="8">
        <f t="shared" si="5"/>
        <v>5.4999999987531076</v>
      </c>
      <c r="I9" s="8">
        <f t="shared" ca="1" si="18"/>
        <v>1.246892367134933E-9</v>
      </c>
      <c r="J9" s="13">
        <f t="shared" ca="1" si="19"/>
        <v>2.2670770311544237E-10</v>
      </c>
      <c r="K9" s="54">
        <v>0.40012202095166149</v>
      </c>
      <c r="L9" s="13">
        <f t="shared" si="6"/>
        <v>3.0505237915368077E-4</v>
      </c>
      <c r="M9" s="17">
        <f t="shared" ca="1" si="7"/>
        <v>9.0611874368934281E-2</v>
      </c>
      <c r="N9" s="7">
        <f t="shared" ca="1" si="20"/>
        <v>9.0611874368934299E-4</v>
      </c>
      <c r="O9" s="9">
        <f t="shared" si="8"/>
        <v>0.60314249104094597</v>
      </c>
      <c r="P9" s="44">
        <f t="shared" ca="1" si="9"/>
        <v>1.9088149866899706</v>
      </c>
      <c r="Q9" s="45">
        <f t="shared" si="10"/>
        <v>6.182685186994466E-2</v>
      </c>
      <c r="R9" s="44">
        <f t="shared" ca="1" si="11"/>
        <v>0.19566855789836796</v>
      </c>
      <c r="S9" s="44">
        <f t="shared" ca="1" si="12"/>
        <v>1.5049626424230524</v>
      </c>
      <c r="T9" s="6">
        <f t="shared" ca="1" si="13"/>
        <v>1.1903563680147571</v>
      </c>
      <c r="U9" s="9">
        <f t="shared" ca="1" si="14"/>
        <v>0.11903563680147572</v>
      </c>
      <c r="V9" s="60">
        <f t="shared" ca="1" si="15"/>
        <v>2106.5837121060545</v>
      </c>
      <c r="W9" s="60">
        <f t="shared" ca="1" si="16"/>
        <v>35248.373566170158</v>
      </c>
      <c r="X9" s="18" t="str">
        <f t="shared" ca="1" si="21"/>
        <v>Good</v>
      </c>
      <c r="Y9" s="9"/>
    </row>
    <row r="10" spans="1:25" x14ac:dyDescent="0.25">
      <c r="A10" s="18">
        <v>0.11</v>
      </c>
      <c r="B10" s="6">
        <f t="shared" si="0"/>
        <v>2.5918139392115793</v>
      </c>
      <c r="C10" s="6">
        <f t="shared" si="1"/>
        <v>2.8561336620493525</v>
      </c>
      <c r="D10" s="7">
        <f t="shared" ca="1" si="2"/>
        <v>225905.51400403347</v>
      </c>
      <c r="E10" s="8">
        <f t="shared" si="3"/>
        <v>30.343957213181728</v>
      </c>
      <c r="F10" s="8">
        <f t="shared" si="4"/>
        <v>24.84395721358668</v>
      </c>
      <c r="G10" s="8">
        <f t="shared" ca="1" si="17"/>
        <v>5.5</v>
      </c>
      <c r="H10" s="8">
        <f t="shared" si="5"/>
        <v>5.4999999995950475</v>
      </c>
      <c r="I10" s="8">
        <f t="shared" ca="1" si="18"/>
        <v>4.049525159643963E-10</v>
      </c>
      <c r="J10" s="13">
        <f t="shared" ca="1" si="19"/>
        <v>7.362773017534478E-11</v>
      </c>
      <c r="K10" s="54">
        <v>0.40458730675054239</v>
      </c>
      <c r="L10" s="13">
        <f t="shared" si="6"/>
        <v>1.1468266876355909E-2</v>
      </c>
      <c r="M10" s="17">
        <f t="shared" ca="1" si="7"/>
        <v>9.0038012520621005E-2</v>
      </c>
      <c r="N10" s="7">
        <f t="shared" ca="1" si="20"/>
        <v>9.003801252062102E-4</v>
      </c>
      <c r="O10" s="9">
        <f t="shared" si="8"/>
        <v>0.603142491133275</v>
      </c>
      <c r="P10" s="44">
        <f t="shared" ca="1" si="9"/>
        <v>2.2130021926716585</v>
      </c>
      <c r="Q10" s="45">
        <f t="shared" si="10"/>
        <v>6.1826851876627162E-2</v>
      </c>
      <c r="R10" s="44">
        <f t="shared" ca="1" si="11"/>
        <v>0.22685014035717851</v>
      </c>
      <c r="S10" s="44">
        <f t="shared" ca="1" si="12"/>
        <v>1.7952366987457387</v>
      </c>
      <c r="T10" s="6">
        <f t="shared" ca="1" si="13"/>
        <v>1.3137598282890759</v>
      </c>
      <c r="U10" s="9">
        <f t="shared" ca="1" si="14"/>
        <v>0.14451358111179835</v>
      </c>
      <c r="V10" s="60">
        <f t="shared" ca="1" si="15"/>
        <v>2457.8532230093642</v>
      </c>
      <c r="W10" s="60">
        <f t="shared" ca="1" si="16"/>
        <v>36297.016175239085</v>
      </c>
      <c r="X10" s="18" t="str">
        <f t="shared" ca="1" si="21"/>
        <v>Good</v>
      </c>
      <c r="Y10" s="9"/>
    </row>
    <row r="11" spans="1:25" x14ac:dyDescent="0.25">
      <c r="A11" s="18">
        <v>0.12</v>
      </c>
      <c r="B11" s="6">
        <f t="shared" si="0"/>
        <v>2.8274333882308134</v>
      </c>
      <c r="C11" s="6">
        <f t="shared" si="1"/>
        <v>3.0715435150559691</v>
      </c>
      <c r="D11" s="7">
        <f t="shared" ca="1" si="2"/>
        <v>242943.32781911822</v>
      </c>
      <c r="E11" s="8">
        <f t="shared" si="3"/>
        <v>28.497007671648895</v>
      </c>
      <c r="F11" s="8">
        <f t="shared" si="4"/>
        <v>22.997007671790534</v>
      </c>
      <c r="G11" s="8">
        <f t="shared" ca="1" si="17"/>
        <v>5.5</v>
      </c>
      <c r="H11" s="8">
        <f t="shared" si="5"/>
        <v>5.4999999998583604</v>
      </c>
      <c r="I11" s="8">
        <f t="shared" ca="1" si="18"/>
        <v>1.4163958894641837E-10</v>
      </c>
      <c r="J11" s="13">
        <f t="shared" ca="1" si="19"/>
        <v>2.5752652535712432E-11</v>
      </c>
      <c r="K11" s="54">
        <v>0.40932796840192148</v>
      </c>
      <c r="L11" s="13">
        <f t="shared" si="6"/>
        <v>2.3319921004803651E-2</v>
      </c>
      <c r="M11" s="17">
        <f t="shared" ca="1" si="7"/>
        <v>8.9228405732032848E-2</v>
      </c>
      <c r="N11" s="7">
        <f t="shared" ca="1" si="20"/>
        <v>8.9228405732032863E-4</v>
      </c>
      <c r="O11" s="9">
        <f t="shared" si="8"/>
        <v>0.60314249116215046</v>
      </c>
      <c r="P11" s="44">
        <f t="shared" ca="1" si="9"/>
        <v>2.5363861145613953</v>
      </c>
      <c r="Q11" s="45">
        <f t="shared" si="10"/>
        <v>6.1826851878717087E-2</v>
      </c>
      <c r="R11" s="44">
        <f t="shared" ca="1" si="11"/>
        <v>0.25999953727362768</v>
      </c>
      <c r="S11" s="44">
        <f t="shared" ca="1" si="12"/>
        <v>2.1050336022289313</v>
      </c>
      <c r="T11" s="6">
        <f t="shared" ca="1" si="13"/>
        <v>1.4386409611190145</v>
      </c>
      <c r="U11" s="9">
        <f t="shared" ca="1" si="14"/>
        <v>0.17263691533428174</v>
      </c>
      <c r="V11" s="60">
        <f t="shared" ca="1" si="15"/>
        <v>2842.5769728292216</v>
      </c>
      <c r="W11" s="60">
        <f t="shared" ca="1" si="16"/>
        <v>37379.4026870007</v>
      </c>
      <c r="X11" s="18" t="str">
        <f t="shared" ca="1" si="21"/>
        <v>Good</v>
      </c>
      <c r="Y11" s="9"/>
    </row>
    <row r="12" spans="1:25" x14ac:dyDescent="0.25">
      <c r="A12" s="18">
        <v>0.13</v>
      </c>
      <c r="B12" s="6">
        <f t="shared" si="0"/>
        <v>3.0630528372500483</v>
      </c>
      <c r="C12" s="6">
        <f t="shared" si="1"/>
        <v>3.2897253204159114</v>
      </c>
      <c r="D12" s="7">
        <f t="shared" ca="1" si="2"/>
        <v>260200.38883873448</v>
      </c>
      <c r="E12" s="8">
        <f t="shared" si="3"/>
        <v>26.893557771130361</v>
      </c>
      <c r="F12" s="8">
        <f t="shared" si="4"/>
        <v>21.393557771183353</v>
      </c>
      <c r="G12" s="8">
        <f t="shared" ca="1" si="17"/>
        <v>5.5</v>
      </c>
      <c r="H12" s="8">
        <f t="shared" si="5"/>
        <v>5.4999999999470077</v>
      </c>
      <c r="I12" s="8">
        <f t="shared" ca="1" si="18"/>
        <v>5.2992277232988272E-11</v>
      </c>
      <c r="J12" s="13">
        <f t="shared" ca="1" si="19"/>
        <v>9.6349594969069585E-12</v>
      </c>
      <c r="K12" s="54">
        <v>0.41427796644392706</v>
      </c>
      <c r="L12" s="13">
        <f t="shared" si="6"/>
        <v>3.5694916109817593E-2</v>
      </c>
      <c r="M12" s="17">
        <f t="shared" ca="1" si="7"/>
        <v>8.8176560655889885E-2</v>
      </c>
      <c r="N12" s="7">
        <f t="shared" ca="1" si="20"/>
        <v>8.8176560655889899E-4</v>
      </c>
      <c r="O12" s="9">
        <f t="shared" si="8"/>
        <v>0.60314249117187169</v>
      </c>
      <c r="P12" s="44">
        <f t="shared" ca="1" si="9"/>
        <v>2.8752215766332041</v>
      </c>
      <c r="Q12" s="45">
        <f t="shared" si="10"/>
        <v>6.1826851879420677E-2</v>
      </c>
      <c r="R12" s="44">
        <f t="shared" ca="1" si="11"/>
        <v>0.29473283865911426</v>
      </c>
      <c r="S12" s="44">
        <f t="shared" ca="1" si="12"/>
        <v>2.430943936131523</v>
      </c>
      <c r="T12" s="6">
        <f t="shared" ca="1" si="13"/>
        <v>1.5634187347945419</v>
      </c>
      <c r="U12" s="9">
        <f t="shared" ca="1" si="14"/>
        <v>0.20324443552329044</v>
      </c>
      <c r="V12" s="60">
        <f t="shared" ca="1" si="15"/>
        <v>3260.7549616885049</v>
      </c>
      <c r="W12" s="60">
        <f t="shared" ca="1" si="16"/>
        <v>38495.909877062564</v>
      </c>
      <c r="X12" s="18" t="str">
        <f t="shared" ca="1" si="21"/>
        <v>Good</v>
      </c>
      <c r="Y12" s="9"/>
    </row>
    <row r="13" spans="1:25" x14ac:dyDescent="0.25">
      <c r="A13" s="18">
        <v>0.14000000000000001</v>
      </c>
      <c r="B13" s="6">
        <f t="shared" si="0"/>
        <v>3.2986722862692828</v>
      </c>
      <c r="C13" s="6">
        <f t="shared" si="1"/>
        <v>3.5101622259093692</v>
      </c>
      <c r="D13" s="7">
        <f t="shared" ca="1" si="2"/>
        <v>277635.81670495932</v>
      </c>
      <c r="E13" s="8">
        <f t="shared" si="3"/>
        <v>25.490512792888072</v>
      </c>
      <c r="F13" s="8">
        <f t="shared" si="4"/>
        <v>19.990512792909144</v>
      </c>
      <c r="G13" s="8">
        <f t="shared" ca="1" si="17"/>
        <v>5.5</v>
      </c>
      <c r="H13" s="8">
        <f t="shared" si="5"/>
        <v>5.4999999999789289</v>
      </c>
      <c r="I13" s="8">
        <f t="shared" ca="1" si="18"/>
        <v>2.1071144828965771E-11</v>
      </c>
      <c r="J13" s="13">
        <f t="shared" ca="1" si="19"/>
        <v>3.8311172416301398E-12</v>
      </c>
      <c r="K13" s="54">
        <v>0.41939081475006446</v>
      </c>
      <c r="L13" s="13">
        <f t="shared" si="6"/>
        <v>4.8477036875161084E-2</v>
      </c>
      <c r="M13" s="17">
        <f t="shared" ca="1" si="7"/>
        <v>8.6873678853425867E-2</v>
      </c>
      <c r="N13" s="7">
        <f t="shared" ca="1" si="20"/>
        <v>8.6873678853425888E-4</v>
      </c>
      <c r="O13" s="9">
        <f t="shared" si="8"/>
        <v>0.60314249117537222</v>
      </c>
      <c r="P13" s="44">
        <f t="shared" ca="1" si="9"/>
        <v>3.2250873249136691</v>
      </c>
      <c r="Q13" s="45">
        <f t="shared" si="10"/>
        <v>6.1826851879674037E-2</v>
      </c>
      <c r="R13" s="44">
        <f t="shared" ca="1" si="11"/>
        <v>0.33059683118640382</v>
      </c>
      <c r="S13" s="44">
        <f t="shared" ca="1" si="12"/>
        <v>2.7688700278547418</v>
      </c>
      <c r="T13" s="6">
        <f t="shared" ca="1" si="13"/>
        <v>1.6863692617445865</v>
      </c>
      <c r="U13" s="9">
        <f t="shared" ca="1" si="14"/>
        <v>0.23609169664424212</v>
      </c>
      <c r="V13" s="60">
        <f t="shared" ca="1" si="15"/>
        <v>3712.3871896285959</v>
      </c>
      <c r="W13" s="60">
        <f t="shared" ca="1" si="16"/>
        <v>39646.784132486013</v>
      </c>
      <c r="X13" s="18" t="str">
        <f t="shared" ca="1" si="21"/>
        <v>Good</v>
      </c>
      <c r="Y13" s="9"/>
    </row>
    <row r="14" spans="1:25" x14ac:dyDescent="0.25">
      <c r="A14" s="18">
        <v>0.15</v>
      </c>
      <c r="B14" s="6">
        <f t="shared" ref="B14:B27" si="22">A14*$B$34</f>
        <v>3.5342917352885168</v>
      </c>
      <c r="C14" s="6">
        <f t="shared" ref="C14:C27" si="23">SQRT(B14^2+$B$32^2)</f>
        <v>3.7324546976659629</v>
      </c>
      <c r="D14" s="7">
        <f t="shared" ref="D14:D27" ca="1" si="24">C14*$B$37/$K$31</f>
        <v>295218.01033919153</v>
      </c>
      <c r="E14" s="8">
        <f t="shared" si="3"/>
        <v>24.253919182920711</v>
      </c>
      <c r="F14" s="8">
        <f t="shared" ref="F14:F27" si="25">DEGREES(ATAN($B$32/B14))</f>
        <v>18.753919182929568</v>
      </c>
      <c r="G14" s="8">
        <f t="shared" ca="1" si="17"/>
        <v>5.5</v>
      </c>
      <c r="H14" s="8">
        <f t="shared" si="5"/>
        <v>5.4999999999911431</v>
      </c>
      <c r="I14" s="8">
        <f t="shared" ca="1" si="18"/>
        <v>8.8569152012496488E-12</v>
      </c>
      <c r="J14" s="13">
        <f t="shared" ca="1" si="19"/>
        <v>1.610348218409027E-12</v>
      </c>
      <c r="K14" s="54">
        <v>0.42463284246412475</v>
      </c>
      <c r="L14" s="13">
        <f t="shared" si="6"/>
        <v>6.1582106160311817E-2</v>
      </c>
      <c r="M14" s="17">
        <f t="shared" ca="1" si="7"/>
        <v>8.5308259123951832E-2</v>
      </c>
      <c r="N14" s="7">
        <f t="shared" ca="1" si="20"/>
        <v>8.5308259123951851E-4</v>
      </c>
      <c r="O14" s="9">
        <f t="shared" si="8"/>
        <v>0.60314249117671181</v>
      </c>
      <c r="P14" s="44">
        <f t="shared" ca="1" si="9"/>
        <v>3.5807917036868435</v>
      </c>
      <c r="Q14" s="45">
        <f t="shared" ref="Q14:Q27" si="26">$B$41*O14^2+$B$42</f>
        <v>6.1826851879770994E-2</v>
      </c>
      <c r="R14" s="44">
        <f t="shared" ca="1" si="11"/>
        <v>0.36705932928757229</v>
      </c>
      <c r="S14" s="31">
        <f t="shared" ca="1" si="12"/>
        <v>3.1139482754806451</v>
      </c>
      <c r="T14" s="6">
        <f t="shared" ca="1" si="13"/>
        <v>1.8055824306967225</v>
      </c>
      <c r="U14" s="9">
        <f t="shared" ca="1" si="14"/>
        <v>0.27083736460450836</v>
      </c>
      <c r="V14" s="60">
        <f t="shared" ref="V14:V27" ca="1" si="27">P14/N14</f>
        <v>4197.4736566643533</v>
      </c>
      <c r="W14" s="60">
        <f t="shared" ca="1" si="16"/>
        <v>40832.118597848159</v>
      </c>
      <c r="X14" s="18" t="str">
        <f t="shared" ca="1" si="21"/>
        <v>Good</v>
      </c>
      <c r="Y14" s="33"/>
    </row>
    <row r="15" spans="1:25" x14ac:dyDescent="0.25">
      <c r="A15" s="18">
        <v>0.16</v>
      </c>
      <c r="B15" s="6">
        <f t="shared" si="22"/>
        <v>3.7699111843077517</v>
      </c>
      <c r="C15" s="6">
        <f t="shared" si="23"/>
        <v>3.956289971370738</v>
      </c>
      <c r="D15" s="7">
        <f t="shared" ca="1" si="24"/>
        <v>312922.23168933258</v>
      </c>
      <c r="E15" s="8">
        <f t="shared" si="3"/>
        <v>23.156787151408949</v>
      </c>
      <c r="F15" s="8">
        <f t="shared" si="25"/>
        <v>17.65678715141286</v>
      </c>
      <c r="G15" s="8">
        <f t="shared" ca="1" si="17"/>
        <v>5.5</v>
      </c>
      <c r="H15" s="8">
        <f t="shared" si="5"/>
        <v>5.4999999999960885</v>
      </c>
      <c r="I15" s="8">
        <f t="shared" ca="1" si="18"/>
        <v>3.9115377603593515E-12</v>
      </c>
      <c r="J15" s="13">
        <f t="shared" ca="1" si="19"/>
        <v>7.111886837017003E-13</v>
      </c>
      <c r="K15" s="54">
        <v>0.42997906260230101</v>
      </c>
      <c r="L15" s="13">
        <f t="shared" si="6"/>
        <v>7.4947656505752469E-2</v>
      </c>
      <c r="M15" s="17">
        <f t="shared" ca="1" si="7"/>
        <v>8.3465530854330755E-2</v>
      </c>
      <c r="N15" s="7">
        <f t="shared" ca="1" si="20"/>
        <v>8.3465530854330767E-4</v>
      </c>
      <c r="O15" s="9">
        <f t="shared" si="8"/>
        <v>0.60314249117725405</v>
      </c>
      <c r="P15" s="44">
        <f t="shared" ca="1" si="9"/>
        <v>3.9362464230787189</v>
      </c>
      <c r="Q15" s="45">
        <f t="shared" si="26"/>
        <v>6.1826851879810241E-2</v>
      </c>
      <c r="R15" s="44">
        <f t="shared" ca="1" si="11"/>
        <v>0.40349623533752904</v>
      </c>
      <c r="S15" s="31">
        <f t="shared" ca="1" si="12"/>
        <v>3.4604373529964128</v>
      </c>
      <c r="T15" s="6">
        <f t="shared" ca="1" si="13"/>
        <v>1.9189107433955201</v>
      </c>
      <c r="U15" s="9">
        <f t="shared" ca="1" si="14"/>
        <v>0.30702571894328323</v>
      </c>
      <c r="V15" s="60">
        <f t="shared" ca="1" si="27"/>
        <v>4716.0143628014548</v>
      </c>
      <c r="W15" s="60">
        <f t="shared" ca="1" si="16"/>
        <v>42051.828022875787</v>
      </c>
      <c r="X15" s="18" t="str">
        <f t="shared" ca="1" si="21"/>
        <v>Good</v>
      </c>
      <c r="Y15" s="33" t="s">
        <v>85</v>
      </c>
    </row>
    <row r="16" spans="1:25" x14ac:dyDescent="0.25">
      <c r="A16" s="18">
        <v>0.17</v>
      </c>
      <c r="B16" s="6">
        <f t="shared" si="22"/>
        <v>4.0055306333269858</v>
      </c>
      <c r="C16" s="6">
        <f t="shared" si="23"/>
        <v>4.1814202915422038</v>
      </c>
      <c r="D16" s="7">
        <f t="shared" ca="1" si="24"/>
        <v>330728.88456836331</v>
      </c>
      <c r="E16" s="8">
        <f t="shared" si="3"/>
        <v>22.177468054253641</v>
      </c>
      <c r="F16" s="8">
        <f t="shared" si="25"/>
        <v>16.677468054255449</v>
      </c>
      <c r="G16" s="8">
        <f t="shared" ca="1" si="17"/>
        <v>5.5</v>
      </c>
      <c r="H16" s="8">
        <f t="shared" si="5"/>
        <v>5.4999999999981917</v>
      </c>
      <c r="I16" s="8">
        <f t="shared" ca="1" si="18"/>
        <v>1.808331262509455E-12</v>
      </c>
      <c r="J16" s="13">
        <f t="shared" ca="1" si="19"/>
        <v>3.2878750227444636E-13</v>
      </c>
      <c r="K16" s="54">
        <v>0.43541054210761077</v>
      </c>
      <c r="L16" s="13">
        <f t="shared" si="6"/>
        <v>8.8526355269026857E-2</v>
      </c>
      <c r="M16" s="17">
        <f t="shared" ca="1" si="7"/>
        <v>8.1326646160012978E-2</v>
      </c>
      <c r="N16" s="7">
        <f t="shared" ca="1" si="20"/>
        <v>8.1326646160012996E-4</v>
      </c>
      <c r="O16" s="9">
        <f t="shared" si="8"/>
        <v>0.60314249117748464</v>
      </c>
      <c r="P16" s="44">
        <f t="shared" ca="1" si="9"/>
        <v>4.2842952896280062</v>
      </c>
      <c r="Q16" s="45">
        <f t="shared" si="26"/>
        <v>6.1826851879826929E-2</v>
      </c>
      <c r="R16" s="44">
        <f t="shared" ca="1" si="11"/>
        <v>0.43917398318952844</v>
      </c>
      <c r="S16" s="31">
        <f t="shared" ca="1" si="12"/>
        <v>3.8015613499426926</v>
      </c>
      <c r="T16" s="6">
        <f t="shared" ca="1" si="13"/>
        <v>2.0239049431386773</v>
      </c>
      <c r="U16" s="9">
        <f t="shared" ca="1" si="14"/>
        <v>0.34406384033357518</v>
      </c>
      <c r="V16" s="60">
        <f t="shared" ca="1" si="27"/>
        <v>5268.0093080421721</v>
      </c>
      <c r="W16" s="60">
        <f t="shared" ca="1" si="16"/>
        <v>43305.621286217567</v>
      </c>
      <c r="X16" s="18" t="str">
        <f t="shared" ca="1" si="21"/>
        <v>Good</v>
      </c>
      <c r="Y16" s="33" t="s">
        <v>86</v>
      </c>
    </row>
    <row r="17" spans="1:25" x14ac:dyDescent="0.25">
      <c r="A17" s="18">
        <v>0.18</v>
      </c>
      <c r="B17" s="6">
        <f t="shared" si="22"/>
        <v>4.2411500823462198</v>
      </c>
      <c r="C17" s="6">
        <f t="shared" si="23"/>
        <v>4.4076472205685144</v>
      </c>
      <c r="D17" s="7">
        <f t="shared" ca="1" si="24"/>
        <v>348622.273579637</v>
      </c>
      <c r="E17" s="8">
        <f t="shared" si="3"/>
        <v>21.298442699791647</v>
      </c>
      <c r="F17" s="8">
        <f t="shared" si="25"/>
        <v>15.798442699792515</v>
      </c>
      <c r="G17" s="8">
        <f t="shared" ca="1" si="17"/>
        <v>5.5</v>
      </c>
      <c r="H17" s="8">
        <f t="shared" si="5"/>
        <v>5.4999999999991314</v>
      </c>
      <c r="I17" s="8">
        <f t="shared" ca="1" si="18"/>
        <v>8.6863849446672248E-13</v>
      </c>
      <c r="J17" s="13">
        <f t="shared" ca="1" si="19"/>
        <v>1.5793427172122226E-13</v>
      </c>
      <c r="K17" s="54">
        <v>0.44091267310528798</v>
      </c>
      <c r="L17" s="13">
        <f t="shared" si="6"/>
        <v>0.10228168276321989</v>
      </c>
      <c r="M17" s="17">
        <f t="shared" ca="1" si="7"/>
        <v>7.8867513459481287E-2</v>
      </c>
      <c r="N17" s="7">
        <f t="shared" ca="1" si="20"/>
        <v>7.8867513459481302E-4</v>
      </c>
      <c r="O17" s="9">
        <f t="shared" si="8"/>
        <v>0.60314249117758778</v>
      </c>
      <c r="P17" s="44">
        <f t="shared" ca="1" si="9"/>
        <v>4.6164771643288409</v>
      </c>
      <c r="Q17" s="45">
        <f t="shared" si="26"/>
        <v>6.1826851879834395E-2</v>
      </c>
      <c r="R17" s="44">
        <f t="shared" ca="1" si="11"/>
        <v>0.47322523950904694</v>
      </c>
      <c r="S17" s="31">
        <f t="shared" ca="1" si="12"/>
        <v>4.1292891872338062</v>
      </c>
      <c r="T17" s="6">
        <f t="shared" ca="1" si="13"/>
        <v>2.1177285813512614</v>
      </c>
      <c r="U17" s="9">
        <f t="shared" ca="1" si="14"/>
        <v>0.38119114464322706</v>
      </c>
      <c r="V17" s="60">
        <f t="shared" ca="1" si="27"/>
        <v>5853.4584923874718</v>
      </c>
      <c r="W17" s="60">
        <f t="shared" ca="1" si="16"/>
        <v>44592.971626597333</v>
      </c>
      <c r="X17" s="18" t="str">
        <f t="shared" ca="1" si="21"/>
        <v>Good</v>
      </c>
      <c r="Y17" s="33" t="s">
        <v>87</v>
      </c>
    </row>
    <row r="18" spans="1:25" x14ac:dyDescent="0.25">
      <c r="A18" s="18">
        <v>0.19</v>
      </c>
      <c r="B18" s="6">
        <f t="shared" si="22"/>
        <v>4.4767695313654547</v>
      </c>
      <c r="C18" s="6">
        <f t="shared" si="23"/>
        <v>4.6348101834877848</v>
      </c>
      <c r="D18" s="7">
        <f t="shared" ca="1" si="24"/>
        <v>366589.69806779467</v>
      </c>
      <c r="E18" s="8">
        <f t="shared" si="3"/>
        <v>20.505411814746683</v>
      </c>
      <c r="F18" s="8">
        <f t="shared" si="25"/>
        <v>15.005411814747118</v>
      </c>
      <c r="G18" s="8">
        <f t="shared" ca="1" si="17"/>
        <v>5.5</v>
      </c>
      <c r="H18" s="8">
        <f t="shared" si="5"/>
        <v>5.4999999999995648</v>
      </c>
      <c r="I18" s="8">
        <f t="shared" ca="1" si="18"/>
        <v>4.3520742565306136E-13</v>
      </c>
      <c r="J18" s="13">
        <f t="shared" ca="1" si="19"/>
        <v>7.9128622846011159E-14</v>
      </c>
      <c r="K18" s="54">
        <v>0.44647400454116448</v>
      </c>
      <c r="L18" s="13">
        <f t="shared" si="6"/>
        <v>0.11618501135291115</v>
      </c>
      <c r="M18" s="17">
        <f t="shared" ca="1" si="7"/>
        <v>7.6057075619114886E-2</v>
      </c>
      <c r="N18" s="7">
        <f t="shared" ca="1" si="20"/>
        <v>7.60570756191149E-4</v>
      </c>
      <c r="O18" s="9">
        <f t="shared" si="8"/>
        <v>0.6031424911776353</v>
      </c>
      <c r="P18" s="44">
        <f t="shared" ca="1" si="9"/>
        <v>4.9226891966715343</v>
      </c>
      <c r="Q18" s="45">
        <f t="shared" si="26"/>
        <v>6.182685187983783E-2</v>
      </c>
      <c r="R18" s="44">
        <f t="shared" ca="1" si="11"/>
        <v>0.50461438261270097</v>
      </c>
      <c r="S18" s="31">
        <f t="shared" ca="1" si="12"/>
        <v>4.4340188860278094</v>
      </c>
      <c r="T18" s="6">
        <f t="shared" ca="1" si="13"/>
        <v>2.1970391713656219</v>
      </c>
      <c r="U18" s="9">
        <f t="shared" ca="1" si="14"/>
        <v>0.41743744255946819</v>
      </c>
      <c r="V18" s="60">
        <f t="shared" ca="1" si="27"/>
        <v>6472.3619158377805</v>
      </c>
      <c r="W18" s="60">
        <f t="shared" ca="1" si="16"/>
        <v>45913.084685287366</v>
      </c>
      <c r="X18" s="18" t="str">
        <f t="shared" ca="1" si="21"/>
        <v>Good</v>
      </c>
      <c r="Y18" s="33" t="s">
        <v>88</v>
      </c>
    </row>
    <row r="19" spans="1:25" x14ac:dyDescent="0.25">
      <c r="A19" s="18">
        <v>0.2</v>
      </c>
      <c r="B19" s="6">
        <f t="shared" si="22"/>
        <v>4.7123889803846897</v>
      </c>
      <c r="C19" s="6">
        <f t="shared" si="23"/>
        <v>4.8627780025877243</v>
      </c>
      <c r="D19" s="7">
        <f t="shared" ca="1" si="24"/>
        <v>384620.78254904342</v>
      </c>
      <c r="E19" s="8">
        <f t="shared" si="3"/>
        <v>19.78660869361758</v>
      </c>
      <c r="F19" s="8">
        <f t="shared" si="25"/>
        <v>14.286608599853135</v>
      </c>
      <c r="G19" s="8">
        <f t="shared" ca="1" si="17"/>
        <v>5.5</v>
      </c>
      <c r="H19" s="8">
        <f t="shared" si="5"/>
        <v>5.5000000937644451</v>
      </c>
      <c r="I19" s="8">
        <f t="shared" ca="1" si="18"/>
        <v>-9.3764445097122007E-8</v>
      </c>
      <c r="J19" s="13">
        <f t="shared" ca="1" si="19"/>
        <v>-1.7048080926749455E-8</v>
      </c>
      <c r="K19" s="54">
        <v>0.45208543546160951</v>
      </c>
      <c r="L19" s="13">
        <f t="shared" si="6"/>
        <v>0.13021358865402372</v>
      </c>
      <c r="M19" s="17">
        <f t="shared" ca="1" si="7"/>
        <v>7.2854688201836715E-2</v>
      </c>
      <c r="N19" s="7">
        <f t="shared" ca="1" si="20"/>
        <v>7.2854688201836725E-4</v>
      </c>
      <c r="O19" s="9">
        <f t="shared" si="8"/>
        <v>0.60314250146010506</v>
      </c>
      <c r="P19" s="44">
        <f t="shared" ca="1" si="9"/>
        <v>5.1906923225852051</v>
      </c>
      <c r="Q19" s="45">
        <f t="shared" si="26"/>
        <v>6.1826852624053172E-2</v>
      </c>
      <c r="R19" s="44">
        <f t="shared" ca="1" si="11"/>
        <v>0.53208680944947029</v>
      </c>
      <c r="S19" s="31">
        <f t="shared" ca="1" si="12"/>
        <v>4.704112435087846</v>
      </c>
      <c r="T19" s="6">
        <f t="shared" ca="1" si="13"/>
        <v>2.2578151736993464</v>
      </c>
      <c r="U19" s="9">
        <f t="shared" ca="1" si="14"/>
        <v>0.45156303473986931</v>
      </c>
      <c r="V19" s="60">
        <f t="shared" ca="1" si="27"/>
        <v>7124.7196998563832</v>
      </c>
      <c r="W19" s="60">
        <f t="shared" ca="1" si="16"/>
        <v>47264.86455463725</v>
      </c>
      <c r="X19" s="18" t="str">
        <f t="shared" ca="1" si="21"/>
        <v>Good</v>
      </c>
      <c r="Y19" s="33"/>
    </row>
    <row r="20" spans="1:25" x14ac:dyDescent="0.25">
      <c r="A20" s="18">
        <v>0.21</v>
      </c>
      <c r="B20" s="6">
        <f t="shared" si="22"/>
        <v>4.9480084294039237</v>
      </c>
      <c r="C20" s="6">
        <f t="shared" si="23"/>
        <v>5.0914425674313843</v>
      </c>
      <c r="D20" s="7">
        <f t="shared" ca="1" si="24"/>
        <v>402706.97604268079</v>
      </c>
      <c r="E20" s="8">
        <f t="shared" si="3"/>
        <v>19.132275154018181</v>
      </c>
      <c r="F20" s="8">
        <f t="shared" si="25"/>
        <v>13.632275089679563</v>
      </c>
      <c r="G20" s="8">
        <f t="shared" ca="1" si="17"/>
        <v>5.5</v>
      </c>
      <c r="H20" s="8">
        <f t="shared" si="5"/>
        <v>5.500000064338618</v>
      </c>
      <c r="I20" s="8">
        <f t="shared" ca="1" si="18"/>
        <v>-6.4338617988823898E-8</v>
      </c>
      <c r="J20" s="13">
        <f t="shared" ca="1" si="19"/>
        <v>-1.1697930543422526E-8</v>
      </c>
      <c r="K20" s="54">
        <v>0.4577396326996348</v>
      </c>
      <c r="L20" s="13">
        <f t="shared" si="6"/>
        <v>0.14434908174908695</v>
      </c>
      <c r="M20" s="17">
        <f t="shared" ca="1" si="7"/>
        <v>6.9205962192911724E-2</v>
      </c>
      <c r="N20" s="7">
        <f t="shared" ca="1" si="20"/>
        <v>6.9205962192911733E-4</v>
      </c>
      <c r="O20" s="9">
        <f t="shared" si="8"/>
        <v>0.60314249823320198</v>
      </c>
      <c r="P20" s="44">
        <f t="shared" ca="1" si="9"/>
        <v>5.4053535263832844</v>
      </c>
      <c r="Q20" s="45">
        <f t="shared" si="26"/>
        <v>6.1826852390499287E-2</v>
      </c>
      <c r="R20" s="44">
        <f t="shared" ca="1" si="11"/>
        <v>0.55409127291333549</v>
      </c>
      <c r="S20" s="31">
        <f t="shared" ca="1" si="12"/>
        <v>4.925182291390664</v>
      </c>
      <c r="T20" s="6">
        <f t="shared" ca="1" si="13"/>
        <v>2.2950911268345617</v>
      </c>
      <c r="U20" s="9">
        <f t="shared" ca="1" si="14"/>
        <v>0.48196913663525792</v>
      </c>
      <c r="V20" s="60">
        <f t="shared" ca="1" si="27"/>
        <v>7810.5315714213357</v>
      </c>
      <c r="W20" s="60">
        <f t="shared" ca="1" si="16"/>
        <v>48646.878138106171</v>
      </c>
      <c r="X20" s="18" t="str">
        <f t="shared" ca="1" si="21"/>
        <v>Good</v>
      </c>
      <c r="Y20" s="33"/>
    </row>
    <row r="21" spans="1:25" x14ac:dyDescent="0.25">
      <c r="A21" s="18">
        <v>0.22</v>
      </c>
      <c r="B21" s="6">
        <f t="shared" si="22"/>
        <v>5.1836278784231586</v>
      </c>
      <c r="C21" s="6">
        <f t="shared" si="23"/>
        <v>5.3207140481297976</v>
      </c>
      <c r="D21" s="7">
        <f t="shared" ca="1" si="24"/>
        <v>420841.17346552742</v>
      </c>
      <c r="E21" s="8">
        <f t="shared" si="3"/>
        <v>18.53426006046406</v>
      </c>
      <c r="F21" s="8">
        <f t="shared" si="25"/>
        <v>13.034260015551469</v>
      </c>
      <c r="G21" s="8">
        <f t="shared" ca="1" si="17"/>
        <v>5.5</v>
      </c>
      <c r="H21" s="8">
        <f t="shared" si="5"/>
        <v>5.500000044912591</v>
      </c>
      <c r="I21" s="8">
        <f t="shared" ca="1" si="18"/>
        <v>-4.4912590979606648E-8</v>
      </c>
      <c r="J21" s="13">
        <f t="shared" ca="1" si="19"/>
        <v>-8.1659256326557534E-9</v>
      </c>
      <c r="K21" s="54">
        <v>0.46343063430348957</v>
      </c>
      <c r="L21" s="13">
        <f t="shared" si="6"/>
        <v>0.15857658575872388</v>
      </c>
      <c r="M21" s="17">
        <f t="shared" ca="1" si="7"/>
        <v>6.5035817684652775E-2</v>
      </c>
      <c r="N21" s="7">
        <f t="shared" ca="1" si="20"/>
        <v>6.5035817684652784E-4</v>
      </c>
      <c r="O21" s="9">
        <f t="shared" si="8"/>
        <v>0.60314249610289972</v>
      </c>
      <c r="P21" s="44">
        <f t="shared" ca="1" si="9"/>
        <v>5.5474236748464376</v>
      </c>
      <c r="Q21" s="45">
        <f t="shared" si="26"/>
        <v>6.1826852236314185E-2</v>
      </c>
      <c r="R21" s="44">
        <f t="shared" ca="1" si="11"/>
        <v>0.56865458171670158</v>
      </c>
      <c r="S21" s="31">
        <f t="shared" ca="1" si="12"/>
        <v>5.078940458318546</v>
      </c>
      <c r="T21" s="6">
        <f t="shared" ca="1" si="13"/>
        <v>2.3025293228120121</v>
      </c>
      <c r="U21" s="9">
        <f t="shared" ca="1" si="14"/>
        <v>0.50655645101864266</v>
      </c>
      <c r="V21" s="60">
        <f t="shared" ca="1" si="27"/>
        <v>8529.7976904740663</v>
      </c>
      <c r="W21" s="60">
        <f t="shared" ca="1" si="16"/>
        <v>50057.318259178188</v>
      </c>
      <c r="X21" s="18" t="str">
        <f t="shared" ca="1" si="21"/>
        <v>Good</v>
      </c>
      <c r="Y21" s="33"/>
    </row>
    <row r="22" spans="1:25" x14ac:dyDescent="0.25">
      <c r="A22" s="18">
        <v>0.23</v>
      </c>
      <c r="B22" s="6">
        <f t="shared" si="22"/>
        <v>5.4192473274423927</v>
      </c>
      <c r="C22" s="6">
        <f t="shared" si="23"/>
        <v>5.5505172367979831</v>
      </c>
      <c r="D22" s="7">
        <f t="shared" ca="1" si="24"/>
        <v>439017.42625987413</v>
      </c>
      <c r="E22" s="8">
        <f t="shared" si="3"/>
        <v>17.985707451704389</v>
      </c>
      <c r="F22" s="8">
        <f t="shared" si="25"/>
        <v>12.485707419852311</v>
      </c>
      <c r="G22" s="8">
        <f t="shared" ca="1" si="17"/>
        <v>5.5</v>
      </c>
      <c r="H22" s="8">
        <f t="shared" si="5"/>
        <v>5.5000000318520783</v>
      </c>
      <c r="I22" s="8">
        <f t="shared" ca="1" si="18"/>
        <v>-3.1852078308247656E-8</v>
      </c>
      <c r="J22" s="13">
        <f t="shared" ca="1" si="19"/>
        <v>-5.791286965135937E-9</v>
      </c>
      <c r="K22" s="54">
        <v>0.46915353507515595</v>
      </c>
      <c r="L22" s="13">
        <f t="shared" si="6"/>
        <v>0.17288383768788981</v>
      </c>
      <c r="M22" s="17">
        <f t="shared" ca="1" si="7"/>
        <v>6.0236058383503592E-2</v>
      </c>
      <c r="N22" s="7">
        <f t="shared" ca="1" si="20"/>
        <v>6.0236058383503601E-4</v>
      </c>
      <c r="O22" s="9">
        <f t="shared" si="8"/>
        <v>0.60314249467065417</v>
      </c>
      <c r="P22" s="44">
        <f t="shared" ca="1" si="9"/>
        <v>5.5914229947375169</v>
      </c>
      <c r="Q22" s="45">
        <f t="shared" si="26"/>
        <v>6.1826852132652405E-2</v>
      </c>
      <c r="R22" s="44">
        <f t="shared" ca="1" si="11"/>
        <v>0.57316485865503219</v>
      </c>
      <c r="S22" s="31">
        <f t="shared" ca="1" si="12"/>
        <v>5.1412084263620557</v>
      </c>
      <c r="T22" s="6">
        <f t="shared" ca="1" si="13"/>
        <v>2.2716744876809045</v>
      </c>
      <c r="U22" s="9">
        <f t="shared" ca="1" si="14"/>
        <v>0.52248513216660808</v>
      </c>
      <c r="V22" s="60">
        <f t="shared" ca="1" si="27"/>
        <v>9282.5180544495888</v>
      </c>
      <c r="W22" s="60">
        <f t="shared" ca="1" si="16"/>
        <v>51493.966110173169</v>
      </c>
      <c r="X22" s="18" t="str">
        <f t="shared" ca="1" si="21"/>
        <v>Good</v>
      </c>
      <c r="Y22" s="33"/>
    </row>
    <row r="23" spans="1:25" x14ac:dyDescent="0.25">
      <c r="A23" s="18">
        <v>0.24</v>
      </c>
      <c r="B23" s="6">
        <f t="shared" si="22"/>
        <v>5.6548667764616267</v>
      </c>
      <c r="C23" s="6">
        <f t="shared" si="23"/>
        <v>5.7807887229624217</v>
      </c>
      <c r="D23" s="7">
        <f t="shared" ca="1" si="24"/>
        <v>457230.7189827101</v>
      </c>
      <c r="E23" s="8">
        <f t="shared" si="3"/>
        <v>17.480813590608218</v>
      </c>
      <c r="F23" s="8">
        <f t="shared" si="25"/>
        <v>11.980813567686225</v>
      </c>
      <c r="G23" s="8">
        <f t="shared" ca="1" si="17"/>
        <v>5.5</v>
      </c>
      <c r="H23" s="8">
        <f t="shared" si="5"/>
        <v>5.5000000229219932</v>
      </c>
      <c r="I23" s="8">
        <f t="shared" ca="1" si="18"/>
        <v>-2.2921993192426271E-8</v>
      </c>
      <c r="J23" s="13">
        <f t="shared" ca="1" si="19"/>
        <v>-4.1676351258956856E-9</v>
      </c>
      <c r="K23" s="54">
        <v>0.47490426441651223</v>
      </c>
      <c r="L23" s="13">
        <f t="shared" si="6"/>
        <v>0.18726066104128053</v>
      </c>
      <c r="M23" s="17">
        <f t="shared" ca="1" si="7"/>
        <v>5.4641016151377543E-2</v>
      </c>
      <c r="N23" s="7">
        <f t="shared" ca="1" si="20"/>
        <v>5.4641016151377555E-4</v>
      </c>
      <c r="O23" s="9">
        <f t="shared" si="8"/>
        <v>0.60314249369136086</v>
      </c>
      <c r="P23" s="44">
        <f t="shared" ca="1" si="9"/>
        <v>5.5016359834745767</v>
      </c>
      <c r="Q23" s="45">
        <f t="shared" si="26"/>
        <v>6.1826852061773997E-2</v>
      </c>
      <c r="R23" s="44">
        <f t="shared" ca="1" si="11"/>
        <v>0.56396098369098746</v>
      </c>
      <c r="S23" s="31">
        <f t="shared" ca="1" si="12"/>
        <v>5.0781509754323473</v>
      </c>
      <c r="T23" s="6">
        <f t="shared" ca="1" si="13"/>
        <v>2.1905326193653161</v>
      </c>
      <c r="U23" s="9">
        <f t="shared" ca="1" si="14"/>
        <v>0.52572782864767587</v>
      </c>
      <c r="V23" s="60">
        <f t="shared" ca="1" si="27"/>
        <v>10068.692661631394</v>
      </c>
      <c r="W23" s="60">
        <f t="shared" ca="1" si="16"/>
        <v>52954.15380658432</v>
      </c>
      <c r="X23" s="18" t="str">
        <f t="shared" ca="1" si="21"/>
        <v>Good</v>
      </c>
      <c r="Y23" s="33"/>
    </row>
    <row r="24" spans="1:25" x14ac:dyDescent="0.25">
      <c r="A24" s="18">
        <v>0.25</v>
      </c>
      <c r="B24" s="6">
        <f t="shared" si="22"/>
        <v>5.8904862254808616</v>
      </c>
      <c r="C24" s="6">
        <f t="shared" si="23"/>
        <v>6.0114746920019355</v>
      </c>
      <c r="D24" s="7">
        <f t="shared" ca="1" si="24"/>
        <v>475476.79517369525</v>
      </c>
      <c r="E24" s="8">
        <f t="shared" si="3"/>
        <v>17.014635679034754</v>
      </c>
      <c r="F24" s="8">
        <f t="shared" si="25"/>
        <v>11.514635662314717</v>
      </c>
      <c r="G24" s="8">
        <f t="shared" ca="1" si="17"/>
        <v>5.5</v>
      </c>
      <c r="H24" s="8">
        <f t="shared" si="5"/>
        <v>5.5000000167200369</v>
      </c>
      <c r="I24" s="8">
        <f t="shared" ca="1" si="18"/>
        <v>-1.6720036910555791E-8</v>
      </c>
      <c r="J24" s="13">
        <f t="shared" ca="1" si="19"/>
        <v>-3.040006711010144E-9</v>
      </c>
      <c r="K24" s="54">
        <v>0.4806794160649237</v>
      </c>
      <c r="L24" s="13">
        <f t="shared" si="6"/>
        <v>0.2016985401623092</v>
      </c>
      <c r="M24" s="17">
        <f t="shared" ca="1" si="7"/>
        <v>4.7973235572912332E-2</v>
      </c>
      <c r="N24" s="7">
        <f t="shared" ca="1" si="20"/>
        <v>4.7973235572912342E-4</v>
      </c>
      <c r="O24" s="9">
        <f t="shared" si="8"/>
        <v>0.60314249301124023</v>
      </c>
      <c r="P24" s="44">
        <f t="shared" ca="1" si="9"/>
        <v>5.2234801283369361</v>
      </c>
      <c r="Q24" s="45">
        <f t="shared" si="26"/>
        <v>6.1826852012548839E-2</v>
      </c>
      <c r="R24" s="44">
        <f t="shared" ca="1" si="11"/>
        <v>0.53544781975618283</v>
      </c>
      <c r="S24" s="31">
        <f t="shared" ca="1" si="12"/>
        <v>4.8381680323059202</v>
      </c>
      <c r="T24" s="6">
        <f t="shared" ca="1" si="13"/>
        <v>2.0404850183193144</v>
      </c>
      <c r="U24" s="9">
        <f t="shared" ca="1" si="14"/>
        <v>0.5101212545798286</v>
      </c>
      <c r="V24" s="60">
        <f t="shared" ca="1" si="27"/>
        <v>10888.32151085162</v>
      </c>
      <c r="W24" s="60">
        <f t="shared" ca="1" si="16"/>
        <v>54434.728005816607</v>
      </c>
      <c r="X24" s="18" t="str">
        <f t="shared" ca="1" si="21"/>
        <v>Good</v>
      </c>
      <c r="Y24" s="33"/>
    </row>
    <row r="25" spans="1:25" x14ac:dyDescent="0.25">
      <c r="A25" s="18">
        <v>0.26</v>
      </c>
      <c r="B25" s="6">
        <f t="shared" si="22"/>
        <v>6.1261056745000966</v>
      </c>
      <c r="C25" s="6">
        <f t="shared" si="23"/>
        <v>6.2425291937757308</v>
      </c>
      <c r="D25" s="7">
        <f t="shared" ca="1" si="24"/>
        <v>493752.02041252487</v>
      </c>
      <c r="E25" s="8">
        <f t="shared" si="3"/>
        <v>16.582940177757965</v>
      </c>
      <c r="F25" s="8">
        <f t="shared" si="25"/>
        <v>11.082940165408045</v>
      </c>
      <c r="G25" s="8">
        <f t="shared" ca="1" si="17"/>
        <v>5.5</v>
      </c>
      <c r="H25" s="8">
        <f t="shared" si="5"/>
        <v>5.5000000123499202</v>
      </c>
      <c r="I25" s="8">
        <f t="shared" ca="1" si="18"/>
        <v>-1.2349920197607389E-8</v>
      </c>
      <c r="J25" s="13">
        <f t="shared" ca="1" si="19"/>
        <v>-2.245440035928616E-9</v>
      </c>
      <c r="K25" s="54">
        <v>0.486476117877637</v>
      </c>
      <c r="L25" s="13">
        <f t="shared" si="6"/>
        <v>0.21619029469409246</v>
      </c>
      <c r="M25" s="17">
        <f t="shared" ca="1" si="7"/>
        <v>3.9695777929371408E-2</v>
      </c>
      <c r="N25" s="7">
        <f t="shared" ca="1" si="20"/>
        <v>3.9695777929371417E-4</v>
      </c>
      <c r="O25" s="9">
        <f t="shared" si="8"/>
        <v>0.60314249253200325</v>
      </c>
      <c r="P25" s="44">
        <f t="shared" ca="1" si="9"/>
        <v>4.6608418963223803</v>
      </c>
      <c r="Q25" s="45">
        <f t="shared" si="26"/>
        <v>6.1826851977863057E-2</v>
      </c>
      <c r="R25" s="44">
        <f t="shared" ca="1" si="11"/>
        <v>0.47777297335895474</v>
      </c>
      <c r="S25" s="31">
        <f t="shared" ca="1" si="12"/>
        <v>4.330628429191882</v>
      </c>
      <c r="T25" s="6">
        <f t="shared" ca="1" si="13"/>
        <v>1.7881195723053067</v>
      </c>
      <c r="U25" s="9">
        <f t="shared" ca="1" si="14"/>
        <v>0.46491108879937976</v>
      </c>
      <c r="V25" s="60">
        <f t="shared" ca="1" si="27"/>
        <v>11741.404601303362</v>
      </c>
      <c r="W25" s="60">
        <f t="shared" ca="1" si="16"/>
        <v>55932.01575658784</v>
      </c>
      <c r="X25" s="18" t="str">
        <f t="shared" ca="1" si="21"/>
        <v>Good</v>
      </c>
      <c r="Y25" s="33"/>
    </row>
    <row r="26" spans="1:25" x14ac:dyDescent="0.25">
      <c r="A26" s="18">
        <v>0.27</v>
      </c>
      <c r="B26" s="6">
        <f t="shared" si="22"/>
        <v>6.3617251235193306</v>
      </c>
      <c r="C26" s="6">
        <f t="shared" si="23"/>
        <v>6.473912769509413</v>
      </c>
      <c r="D26" s="7">
        <f t="shared" ca="1" si="24"/>
        <v>512053.27371266024</v>
      </c>
      <c r="E26" s="8">
        <f t="shared" si="3"/>
        <v>15.682081669513311</v>
      </c>
      <c r="F26" s="8">
        <f t="shared" si="25"/>
        <v>10.682081632998722</v>
      </c>
      <c r="G26" s="8">
        <f t="shared" ca="1" si="17"/>
        <v>5</v>
      </c>
      <c r="H26" s="8">
        <f t="shared" si="5"/>
        <v>5.0000000365145887</v>
      </c>
      <c r="I26" s="8">
        <f t="shared" ca="1" si="18"/>
        <v>-3.6514588686031857E-8</v>
      </c>
      <c r="J26" s="13">
        <f t="shared" ca="1" si="19"/>
        <v>-7.3029177372063717E-9</v>
      </c>
      <c r="K26" s="54">
        <v>0.47628100115883049</v>
      </c>
      <c r="L26" s="13">
        <f t="shared" si="6"/>
        <v>0.19070250289707616</v>
      </c>
      <c r="M26" s="17">
        <f t="shared" ca="1" si="7"/>
        <v>2.8436086374650608E-2</v>
      </c>
      <c r="N26" s="7">
        <f t="shared" ca="1" si="20"/>
        <v>2.8436086374650612E-4</v>
      </c>
      <c r="O26" s="9">
        <f t="shared" si="8"/>
        <v>0.54831135962034816</v>
      </c>
      <c r="P26" s="44">
        <f t="shared" ca="1" si="9"/>
        <v>3.264447723129619</v>
      </c>
      <c r="Q26" s="45">
        <f t="shared" si="26"/>
        <v>5.8038720825322881E-2</v>
      </c>
      <c r="R26" s="44">
        <f t="shared" ca="1" si="11"/>
        <v>0.34554157364670757</v>
      </c>
      <c r="S26" s="31">
        <f t="shared" ca="1" si="12"/>
        <v>3.049533314479687</v>
      </c>
      <c r="T26" s="6">
        <f t="shared" ca="1" si="13"/>
        <v>1.2150573978388557</v>
      </c>
      <c r="U26" s="9">
        <f t="shared" ca="1" si="14"/>
        <v>0.32806549741649105</v>
      </c>
      <c r="V26" s="60">
        <f t="shared" ca="1" si="27"/>
        <v>11479.947275866047</v>
      </c>
      <c r="W26" s="60">
        <f t="shared" ca="1" si="16"/>
        <v>57441.793959684692</v>
      </c>
      <c r="X26" s="18" t="str">
        <f t="shared" ca="1" si="21"/>
        <v>Good</v>
      </c>
      <c r="Y26" s="33"/>
    </row>
    <row r="27" spans="1:25" x14ac:dyDescent="0.25">
      <c r="A27" s="18">
        <v>0.28000000000000003</v>
      </c>
      <c r="B27" s="6">
        <f t="shared" si="22"/>
        <v>6.5973445725385655</v>
      </c>
      <c r="C27" s="6">
        <f t="shared" si="23"/>
        <v>6.7055913541464829</v>
      </c>
      <c r="D27" s="7">
        <f t="shared" ca="1" si="24"/>
        <v>530377.86070296611</v>
      </c>
      <c r="E27" s="8">
        <f t="shared" si="3"/>
        <v>15.308905272660242</v>
      </c>
      <c r="F27" s="8">
        <f t="shared" si="25"/>
        <v>10.308905243803196</v>
      </c>
      <c r="G27" s="8">
        <f t="shared" ca="1" si="17"/>
        <v>5</v>
      </c>
      <c r="H27" s="8">
        <f t="shared" si="5"/>
        <v>5.0000000288570465</v>
      </c>
      <c r="I27" s="8">
        <f t="shared" ca="1" si="18"/>
        <v>-2.8857046530106345E-8</v>
      </c>
      <c r="J27" s="13">
        <f t="shared" ca="1" si="19"/>
        <v>-5.7714093060212692E-9</v>
      </c>
      <c r="K27" s="54">
        <v>0.48158171481313006</v>
      </c>
      <c r="L27" s="13">
        <f t="shared" si="6"/>
        <v>0.20395428703282509</v>
      </c>
      <c r="M27" s="17">
        <f t="shared" ca="1" si="7"/>
        <v>0</v>
      </c>
      <c r="N27" s="7">
        <f t="shared" ca="1" si="20"/>
        <v>0</v>
      </c>
      <c r="O27" s="9">
        <f t="shared" si="8"/>
        <v>0.54831135878060477</v>
      </c>
      <c r="P27" s="44">
        <f t="shared" ca="1" si="9"/>
        <v>0</v>
      </c>
      <c r="Q27" s="45">
        <f t="shared" si="26"/>
        <v>5.8038720770069982E-2</v>
      </c>
      <c r="R27" s="44">
        <f t="shared" ca="1" si="11"/>
        <v>0</v>
      </c>
      <c r="S27" s="44">
        <f t="shared" ca="1" si="12"/>
        <v>0</v>
      </c>
      <c r="T27" s="6">
        <f t="shared" ca="1" si="13"/>
        <v>0</v>
      </c>
      <c r="U27" s="9">
        <f t="shared" ca="1" si="14"/>
        <v>0</v>
      </c>
      <c r="V27" s="8" t="e">
        <f t="shared" ca="1" si="27"/>
        <v>#DIV/0!</v>
      </c>
      <c r="W27" s="60">
        <f t="shared" ca="1" si="16"/>
        <v>58959.264032073268</v>
      </c>
      <c r="X27" s="18" t="e">
        <f t="shared" ca="1" si="21"/>
        <v>#DIV/0!</v>
      </c>
      <c r="Y27" s="9"/>
    </row>
    <row r="28" spans="1:25" x14ac:dyDescent="0.25">
      <c r="B28" s="6"/>
      <c r="C28" s="6"/>
      <c r="D28" s="7"/>
      <c r="E28" s="8"/>
      <c r="F28" s="8"/>
      <c r="G28" s="8"/>
      <c r="H28" s="8"/>
      <c r="I28" s="8"/>
      <c r="J28" s="8"/>
      <c r="N28" s="11">
        <f ca="1">SUM(N3:N13)</f>
        <v>9.8778409213628997E-3</v>
      </c>
      <c r="P28" s="12">
        <f ca="1">SUM(P3:P13)</f>
        <v>19.815616085756897</v>
      </c>
      <c r="R28" s="12">
        <f ca="1">SUM(R3:R13)</f>
        <v>2.0154716715187195</v>
      </c>
      <c r="S28" s="12">
        <f ca="1">SUM(S3:S13)</f>
        <v>15.256772973614435</v>
      </c>
      <c r="T28" s="12">
        <f ca="1">SUM(T3:T13)</f>
        <v>12.474707398253834</v>
      </c>
      <c r="U28" s="12">
        <f ca="1">SUM(U3:U13)</f>
        <v>1.2385576353361842</v>
      </c>
      <c r="X28" s="6"/>
    </row>
    <row r="29" spans="1:25" x14ac:dyDescent="0.25">
      <c r="B29" s="6"/>
      <c r="C29" s="6"/>
      <c r="D29" s="7"/>
      <c r="E29" s="8"/>
      <c r="F29" s="8"/>
      <c r="G29" s="8"/>
      <c r="H29" s="8"/>
      <c r="K29" s="11"/>
      <c r="M29" s="12"/>
      <c r="N29" s="6"/>
      <c r="O29" s="12"/>
      <c r="P29" s="12"/>
      <c r="Q29" s="9"/>
      <c r="R29" s="12"/>
      <c r="S29" s="12"/>
    </row>
    <row r="30" spans="1:25" x14ac:dyDescent="0.25">
      <c r="A30" s="84" t="s">
        <v>1</v>
      </c>
      <c r="B30" s="84"/>
      <c r="C30" s="84"/>
      <c r="D30" s="7"/>
      <c r="E30" s="82" t="s">
        <v>30</v>
      </c>
      <c r="F30" s="83"/>
      <c r="G30" s="8"/>
      <c r="H30" s="25" t="s">
        <v>26</v>
      </c>
      <c r="I30" s="25" t="s">
        <v>53</v>
      </c>
      <c r="J30" s="25" t="s">
        <v>27</v>
      </c>
      <c r="K30" s="25" t="s">
        <v>28</v>
      </c>
      <c r="L30" s="25" t="s">
        <v>29</v>
      </c>
      <c r="M30" s="26" t="s">
        <v>31</v>
      </c>
      <c r="O30" s="85" t="s">
        <v>77</v>
      </c>
      <c r="P30" s="85"/>
      <c r="Q30" s="85"/>
      <c r="R30" s="41" t="s">
        <v>10</v>
      </c>
      <c r="S30" s="9"/>
      <c r="T30" s="32" t="s">
        <v>82</v>
      </c>
      <c r="U30" s="48" t="s">
        <v>107</v>
      </c>
      <c r="V30" s="6"/>
      <c r="W30" s="9"/>
      <c r="X30" s="8"/>
    </row>
    <row r="31" spans="1:25" x14ac:dyDescent="0.25">
      <c r="A31" s="20" t="s">
        <v>8</v>
      </c>
      <c r="B31" s="20">
        <f ca="1">0.01*VLOOKUP(LEFT($O$65,SEARCH("-",$O$65)-1),'Summary+ellip'!$A$2:$B$6,2,0)</f>
        <v>0.28000000000000003</v>
      </c>
      <c r="C31" s="20" t="s">
        <v>9</v>
      </c>
      <c r="D31" s="7"/>
      <c r="E31" s="10" t="s">
        <v>31</v>
      </c>
      <c r="F31" s="10" t="s">
        <v>32</v>
      </c>
      <c r="G31" s="8"/>
      <c r="H31" s="10">
        <v>0.5</v>
      </c>
      <c r="I31" s="10">
        <v>999.1</v>
      </c>
      <c r="J31" s="23">
        <v>1.1379999999999999E-3</v>
      </c>
      <c r="K31" s="23">
        <f>J31/I31</f>
        <v>1.1390251226103492E-6</v>
      </c>
      <c r="L31" s="34">
        <f ca="1">B37</f>
        <v>9.0091041328286395E-2</v>
      </c>
      <c r="M31" s="14">
        <f ca="1">H31*L31/K31</f>
        <v>39547.433827368608</v>
      </c>
      <c r="O31" s="10" t="s">
        <v>65</v>
      </c>
      <c r="P31" s="20" t="s">
        <v>64</v>
      </c>
      <c r="Q31" s="20" t="s">
        <v>66</v>
      </c>
      <c r="R31" s="20" t="s">
        <v>78</v>
      </c>
      <c r="T31" s="36">
        <f ca="1">S28*B32</f>
        <v>18.308127568337323</v>
      </c>
      <c r="U31" s="49">
        <f ca="1">B40</f>
        <v>0.63031033715179563</v>
      </c>
    </row>
    <row r="32" spans="1:25" x14ac:dyDescent="0.25">
      <c r="A32" s="20" t="s">
        <v>13</v>
      </c>
      <c r="B32" s="20">
        <v>1.2</v>
      </c>
      <c r="C32" s="20" t="s">
        <v>14</v>
      </c>
      <c r="E32" s="14">
        <v>25000</v>
      </c>
      <c r="F32" s="63">
        <f ca="1">IF(RIGHT($A$1,4)*1=2411,VLOOKUP(E32,AofAs!$B$5:$D$10,3,0),VLOOKUP(E32,AofAs!$B$13:$D$18,3,0))</f>
        <v>7</v>
      </c>
      <c r="H32" s="10">
        <v>3</v>
      </c>
      <c r="I32" s="10">
        <v>999.1</v>
      </c>
      <c r="J32" s="23">
        <v>1.1379999999999999E-3</v>
      </c>
      <c r="K32" s="23">
        <f>J32/I32</f>
        <v>1.1390251226103492E-6</v>
      </c>
      <c r="L32" s="34">
        <f ca="1">L31</f>
        <v>9.0091041328286395E-2</v>
      </c>
      <c r="M32" s="14">
        <f ca="1">H32*L32/K32</f>
        <v>237284.60296421166</v>
      </c>
      <c r="O32" s="20">
        <v>2</v>
      </c>
      <c r="P32" s="21">
        <f ca="1">SQRT(($P$63-(O32-$P$64)^2)/$P$61)</f>
        <v>5.5075705472861021</v>
      </c>
      <c r="Q32" s="21">
        <f ca="1">-SQRT(($P$63-(O32-$P$64)^2)/$P$62)</f>
        <v>-3.1797973380564852</v>
      </c>
      <c r="R32" s="34">
        <f ca="1">(P32-Q32)*0.01</f>
        <v>8.6873678853425867E-2</v>
      </c>
      <c r="T32" s="32" t="s">
        <v>83</v>
      </c>
      <c r="U32" s="48" t="s">
        <v>108</v>
      </c>
      <c r="V32" s="13"/>
    </row>
    <row r="33" spans="1:21" x14ac:dyDescent="0.25">
      <c r="A33" s="20" t="s">
        <v>15</v>
      </c>
      <c r="B33" s="20">
        <v>3.75</v>
      </c>
      <c r="C33" s="20" t="s">
        <v>16</v>
      </c>
      <c r="E33" s="14">
        <v>50000</v>
      </c>
      <c r="F33" s="63">
        <f ca="1">IF(RIGHT($A$1,4)*1=2411,VLOOKUP(E33,AofAs!$B$5:$D$10,3,0),VLOOKUP(E33,AofAs!$B$13:$D$18,3,0))</f>
        <v>6.5</v>
      </c>
      <c r="H33" s="8"/>
      <c r="O33" s="10">
        <v>3</v>
      </c>
      <c r="P33" s="21">
        <f t="shared" ref="P33:P58" ca="1" si="28">SQRT(($P$63-(O33-$P$64)^2)/$P$61)</f>
        <v>5.5901699437494745</v>
      </c>
      <c r="Q33" s="21">
        <f t="shared" ref="Q33:Q58" ca="1" si="29">-SQRT(($P$63-(O33-$P$64)^2)/$P$62)</f>
        <v>-3.2274861218395139</v>
      </c>
      <c r="R33" s="34">
        <f t="shared" ref="R33:R44" ca="1" si="30">(P33-Q33)*0.01</f>
        <v>8.8176560655889885E-2</v>
      </c>
      <c r="T33" s="36">
        <f ca="1">U28*B34</f>
        <v>29.182826761647764</v>
      </c>
      <c r="U33" s="49">
        <f>B39</f>
        <v>0.40339861577714919</v>
      </c>
    </row>
    <row r="34" spans="1:21" x14ac:dyDescent="0.25">
      <c r="A34" s="20" t="s">
        <v>17</v>
      </c>
      <c r="B34" s="21">
        <f>2*PI()*B33</f>
        <v>23.561944901923447</v>
      </c>
      <c r="C34" s="20" t="s">
        <v>18</v>
      </c>
      <c r="E34" s="14">
        <v>100000</v>
      </c>
      <c r="F34" s="63">
        <f ca="1">IF(RIGHT($A$1,4)*1=2411,VLOOKUP(E34,AofAs!$B$5:$D$10,3,0),VLOOKUP(E34,AofAs!$B$13:$D$18,3,0))</f>
        <v>6</v>
      </c>
      <c r="H34" s="8"/>
      <c r="O34" s="10">
        <v>4</v>
      </c>
      <c r="P34" s="21">
        <f t="shared" ca="1" si="28"/>
        <v>5.6568542494923806</v>
      </c>
      <c r="Q34" s="21">
        <f t="shared" ca="1" si="29"/>
        <v>-3.2659863237109041</v>
      </c>
      <c r="R34" s="34">
        <f t="shared" ca="1" si="30"/>
        <v>8.9228405732032848E-2</v>
      </c>
      <c r="T34" s="32" t="s">
        <v>84</v>
      </c>
    </row>
    <row r="35" spans="1:21" x14ac:dyDescent="0.25">
      <c r="A35" s="20" t="s">
        <v>19</v>
      </c>
      <c r="B35" s="21">
        <v>0.04</v>
      </c>
      <c r="C35" s="20" t="s">
        <v>9</v>
      </c>
      <c r="D35" s="7"/>
      <c r="E35" s="14">
        <v>200000</v>
      </c>
      <c r="F35" s="63">
        <f ca="1">IF(RIGHT($A$1,4)*1=2411,VLOOKUP(E35,AofAs!$B$5:$D$10,3,0),VLOOKUP(E35,AofAs!$B$13:$D$18,3,0))</f>
        <v>5.5</v>
      </c>
      <c r="G35" s="8"/>
      <c r="H35" s="55" t="s">
        <v>133</v>
      </c>
      <c r="I35" s="53">
        <v>70000000000</v>
      </c>
      <c r="J35" s="10" t="s">
        <v>126</v>
      </c>
      <c r="O35" s="10">
        <v>5</v>
      </c>
      <c r="P35" s="21">
        <f t="shared" ca="1" si="28"/>
        <v>5.7081812631812365</v>
      </c>
      <c r="Q35" s="21">
        <f t="shared" ca="1" si="29"/>
        <v>-3.2956199888808646</v>
      </c>
      <c r="R35" s="34">
        <f t="shared" ca="1" si="30"/>
        <v>9.0038012520621005E-2</v>
      </c>
      <c r="T35" s="37">
        <f ca="1">T31/T33</f>
        <v>0.62735963578408271</v>
      </c>
    </row>
    <row r="36" spans="1:21" x14ac:dyDescent="0.25">
      <c r="A36" s="20" t="s">
        <v>20</v>
      </c>
      <c r="B36" s="20">
        <f ca="1">2*(B31+B35)</f>
        <v>0.64</v>
      </c>
      <c r="C36" s="20" t="s">
        <v>9</v>
      </c>
      <c r="D36" s="7"/>
      <c r="E36" s="14">
        <v>500000</v>
      </c>
      <c r="F36" s="63">
        <f ca="1">IF(RIGHT($A$1,4)*1=2411,VLOOKUP(E36,AofAs!$B$5:$D$10,3,0),VLOOKUP(E36,AofAs!$B$13:$D$18,3,0))</f>
        <v>5</v>
      </c>
      <c r="G36" s="8"/>
      <c r="H36" s="55" t="s">
        <v>127</v>
      </c>
      <c r="I36" s="14">
        <f ca="1">VLOOKUP(O65,Pressure!$F$2:$M$11,6,0)</f>
        <v>6.274613333333333E-9</v>
      </c>
      <c r="J36" s="10" t="s">
        <v>128</v>
      </c>
      <c r="O36" s="10">
        <v>6</v>
      </c>
      <c r="P36" s="21">
        <f t="shared" ca="1" si="28"/>
        <v>5.7445626465380286</v>
      </c>
      <c r="Q36" s="21">
        <f t="shared" ca="1" si="29"/>
        <v>-3.3166247903553998</v>
      </c>
      <c r="R36" s="34">
        <f t="shared" ca="1" si="30"/>
        <v>9.0611874368934281E-2</v>
      </c>
      <c r="T36" s="32" t="s">
        <v>92</v>
      </c>
    </row>
    <row r="37" spans="1:21" x14ac:dyDescent="0.25">
      <c r="A37" s="20" t="s">
        <v>21</v>
      </c>
      <c r="B37" s="43">
        <f ca="1">AVERAGE(M3:M12)</f>
        <v>9.0091041328286395E-2</v>
      </c>
      <c r="C37" s="20" t="s">
        <v>9</v>
      </c>
      <c r="D37" s="7"/>
      <c r="E37" s="14">
        <v>1000000</v>
      </c>
      <c r="F37" s="63">
        <f ca="1">IF(RIGHT($A$1,4)*1=2411,VLOOKUP(E37,AofAs!$B$5:$D$10,3,0),VLOOKUP(E37,AofAs!$B$13:$D$18,3,0))</f>
        <v>4</v>
      </c>
      <c r="G37" s="8"/>
      <c r="H37" s="55" t="s">
        <v>129</v>
      </c>
      <c r="I37" s="14">
        <f ca="1">VLOOKUP(O65,Pressure!$F$2:$M$11,7,0)</f>
        <v>1.2E-2</v>
      </c>
      <c r="J37" s="10" t="s">
        <v>9</v>
      </c>
      <c r="O37" s="10">
        <v>7</v>
      </c>
      <c r="P37" s="21">
        <f t="shared" ca="1" si="28"/>
        <v>5.7662812973353983</v>
      </c>
      <c r="Q37" s="21">
        <f t="shared" ca="1" si="29"/>
        <v>-3.3291640592396967</v>
      </c>
      <c r="R37" s="34">
        <f t="shared" ca="1" si="30"/>
        <v>9.0954453565750951E-2</v>
      </c>
      <c r="T37" s="35">
        <f ca="1">P28/R28</f>
        <v>9.8317512301352394</v>
      </c>
    </row>
    <row r="38" spans="1:21" x14ac:dyDescent="0.25">
      <c r="A38" s="20" t="s">
        <v>57</v>
      </c>
      <c r="B38" s="4">
        <v>0.4</v>
      </c>
      <c r="C38" s="20" t="s">
        <v>9</v>
      </c>
      <c r="H38" s="55" t="s">
        <v>131</v>
      </c>
      <c r="I38" s="10">
        <f>A27-A3</f>
        <v>0.24000000000000002</v>
      </c>
      <c r="J38" s="10" t="s">
        <v>9</v>
      </c>
      <c r="O38" s="10">
        <v>8</v>
      </c>
      <c r="P38" s="21">
        <f t="shared" ca="1" si="28"/>
        <v>5.7735026918962582</v>
      </c>
      <c r="Q38" s="21">
        <f t="shared" ca="1" si="29"/>
        <v>-3.3333333333333335</v>
      </c>
      <c r="R38" s="34">
        <f t="shared" ca="1" si="30"/>
        <v>9.1068360252295921E-2</v>
      </c>
    </row>
    <row r="39" spans="1:21" x14ac:dyDescent="0.25">
      <c r="A39" s="20" t="s">
        <v>52</v>
      </c>
      <c r="B39" s="22">
        <f>AVERAGE(K3:K13)</f>
        <v>0.40339861577714919</v>
      </c>
      <c r="C39" s="20" t="s">
        <v>9</v>
      </c>
      <c r="O39" s="10">
        <v>9</v>
      </c>
      <c r="P39" s="21">
        <f t="shared" ca="1" si="28"/>
        <v>5.7662812973353983</v>
      </c>
      <c r="Q39" s="21">
        <f t="shared" ca="1" si="29"/>
        <v>-3.3291640592396967</v>
      </c>
      <c r="R39" s="34">
        <f t="shared" ca="1" si="30"/>
        <v>9.0954453565750951E-2</v>
      </c>
    </row>
    <row r="40" spans="1:21" x14ac:dyDescent="0.25">
      <c r="A40" s="20" t="s">
        <v>23</v>
      </c>
      <c r="B40" s="21">
        <f ca="1">B39/B36</f>
        <v>0.63031033715179563</v>
      </c>
      <c r="C40" s="20"/>
      <c r="D40" s="18" t="s">
        <v>91</v>
      </c>
      <c r="O40" s="10">
        <v>10</v>
      </c>
      <c r="P40" s="21">
        <f t="shared" ca="1" si="28"/>
        <v>5.7445626465380286</v>
      </c>
      <c r="Q40" s="21">
        <f t="shared" ca="1" si="29"/>
        <v>-3.3166247903553998</v>
      </c>
      <c r="R40" s="34">
        <f t="shared" ca="1" si="30"/>
        <v>9.0611874368934281E-2</v>
      </c>
    </row>
    <row r="41" spans="1:21" x14ac:dyDescent="0.25">
      <c r="A41" s="20" t="s">
        <v>24</v>
      </c>
      <c r="B41" s="20">
        <v>0.06</v>
      </c>
      <c r="C41" s="10"/>
      <c r="O41" s="10">
        <v>11</v>
      </c>
      <c r="P41" s="21">
        <f t="shared" ca="1" si="28"/>
        <v>5.7081812631812365</v>
      </c>
      <c r="Q41" s="21">
        <f t="shared" ca="1" si="29"/>
        <v>-3.2956199888808646</v>
      </c>
      <c r="R41" s="34">
        <f t="shared" ca="1" si="30"/>
        <v>9.0038012520621005E-2</v>
      </c>
    </row>
    <row r="42" spans="1:21" x14ac:dyDescent="0.25">
      <c r="A42" s="20" t="s">
        <v>25</v>
      </c>
      <c r="B42" s="20">
        <v>0.04</v>
      </c>
      <c r="C42" s="10"/>
      <c r="O42" s="10">
        <v>12</v>
      </c>
      <c r="P42" s="21">
        <f t="shared" ca="1" si="28"/>
        <v>5.6568542494923806</v>
      </c>
      <c r="Q42" s="21">
        <f t="shared" ca="1" si="29"/>
        <v>-3.2659863237109041</v>
      </c>
      <c r="R42" s="34">
        <f t="shared" ca="1" si="30"/>
        <v>8.9228405732032848E-2</v>
      </c>
    </row>
    <row r="43" spans="1:21" x14ac:dyDescent="0.25">
      <c r="O43" s="10">
        <v>13</v>
      </c>
      <c r="P43" s="21">
        <f t="shared" ca="1" si="28"/>
        <v>5.5901699437494745</v>
      </c>
      <c r="Q43" s="21">
        <f t="shared" ca="1" si="29"/>
        <v>-3.2274861218395139</v>
      </c>
      <c r="R43" s="34">
        <f t="shared" ca="1" si="30"/>
        <v>8.8176560655889885E-2</v>
      </c>
    </row>
    <row r="44" spans="1:21" x14ac:dyDescent="0.25">
      <c r="O44" s="10">
        <v>14</v>
      </c>
      <c r="P44" s="21">
        <f t="shared" ca="1" si="28"/>
        <v>5.5075705472861021</v>
      </c>
      <c r="Q44" s="21">
        <f t="shared" ca="1" si="29"/>
        <v>-3.1797973380564852</v>
      </c>
      <c r="R44" s="34">
        <f t="shared" ca="1" si="30"/>
        <v>8.6873678853425867E-2</v>
      </c>
    </row>
    <row r="45" spans="1:21" x14ac:dyDescent="0.25">
      <c r="O45" s="10">
        <v>15</v>
      </c>
      <c r="P45" s="21">
        <f t="shared" ca="1" si="28"/>
        <v>5.4083269131959844</v>
      </c>
      <c r="Q45" s="21">
        <f t="shared" ca="1" si="29"/>
        <v>-3.1224989991991992</v>
      </c>
      <c r="R45" s="34">
        <f t="shared" ref="R45:R58" ca="1" si="31">(P45-Q45)*0.01</f>
        <v>8.5308259123951832E-2</v>
      </c>
    </row>
    <row r="46" spans="1:21" x14ac:dyDescent="0.25">
      <c r="O46" s="10">
        <v>16</v>
      </c>
      <c r="P46" s="21">
        <f t="shared" ca="1" si="28"/>
        <v>5.2915026221291814</v>
      </c>
      <c r="Q46" s="21">
        <f t="shared" ca="1" si="29"/>
        <v>-3.0550504633038935</v>
      </c>
      <c r="R46" s="34">
        <f t="shared" ca="1" si="31"/>
        <v>8.3465530854330755E-2</v>
      </c>
    </row>
    <row r="47" spans="1:21" x14ac:dyDescent="0.25">
      <c r="O47" s="10">
        <v>17</v>
      </c>
      <c r="P47" s="21">
        <f t="shared" ca="1" si="28"/>
        <v>5.1559027660860064</v>
      </c>
      <c r="Q47" s="21">
        <f t="shared" ca="1" si="29"/>
        <v>-2.9767618499152917</v>
      </c>
      <c r="R47" s="34">
        <f t="shared" ca="1" si="31"/>
        <v>8.1326646160012978E-2</v>
      </c>
    </row>
    <row r="48" spans="1:21" x14ac:dyDescent="0.25">
      <c r="O48" s="10">
        <v>18</v>
      </c>
      <c r="P48" s="21">
        <f t="shared" ca="1" si="28"/>
        <v>5</v>
      </c>
      <c r="Q48" s="21">
        <f t="shared" ca="1" si="29"/>
        <v>-2.8867513459481291</v>
      </c>
      <c r="R48" s="34">
        <f t="shared" ca="1" si="31"/>
        <v>7.8867513459481287E-2</v>
      </c>
    </row>
    <row r="49" spans="15:19" x14ac:dyDescent="0.25">
      <c r="O49" s="10">
        <v>19</v>
      </c>
      <c r="P49" s="21">
        <f t="shared" ca="1" si="28"/>
        <v>4.8218253804964775</v>
      </c>
      <c r="Q49" s="21">
        <f t="shared" ca="1" si="29"/>
        <v>-2.7838821814150108</v>
      </c>
      <c r="R49" s="34">
        <f t="shared" ca="1" si="31"/>
        <v>7.6057075619114886E-2</v>
      </c>
    </row>
    <row r="50" spans="15:19" x14ac:dyDescent="0.25">
      <c r="O50" s="10">
        <v>20</v>
      </c>
      <c r="P50" s="21">
        <f t="shared" ca="1" si="28"/>
        <v>4.6188021535170058</v>
      </c>
      <c r="Q50" s="21">
        <f t="shared" ca="1" si="29"/>
        <v>-2.6666666666666665</v>
      </c>
      <c r="R50" s="34">
        <f t="shared" ca="1" si="31"/>
        <v>7.2854688201836715E-2</v>
      </c>
    </row>
    <row r="51" spans="15:19" x14ac:dyDescent="0.25">
      <c r="O51" s="10">
        <v>21</v>
      </c>
      <c r="P51" s="21">
        <f t="shared" ca="1" si="28"/>
        <v>4.3874821936960613</v>
      </c>
      <c r="Q51" s="21">
        <f t="shared" ca="1" si="29"/>
        <v>-2.5331140255951108</v>
      </c>
      <c r="R51" s="34">
        <f t="shared" ca="1" si="31"/>
        <v>6.9205962192911724E-2</v>
      </c>
    </row>
    <row r="52" spans="15:19" x14ac:dyDescent="0.25">
      <c r="O52" s="10">
        <v>22</v>
      </c>
      <c r="P52" s="21">
        <f t="shared" ca="1" si="28"/>
        <v>4.1231056256176606</v>
      </c>
      <c r="Q52" s="21">
        <f t="shared" ca="1" si="29"/>
        <v>-2.3804761428476167</v>
      </c>
      <c r="R52" s="34">
        <f t="shared" ca="1" si="31"/>
        <v>6.5035817684652775E-2</v>
      </c>
    </row>
    <row r="53" spans="15:19" x14ac:dyDescent="0.25">
      <c r="O53" s="10">
        <v>23</v>
      </c>
      <c r="P53" s="21">
        <f t="shared" ca="1" si="28"/>
        <v>3.8188130791298667</v>
      </c>
      <c r="Q53" s="21">
        <f t="shared" ca="1" si="29"/>
        <v>-2.2047927592204921</v>
      </c>
      <c r="R53" s="34">
        <f t="shared" ca="1" si="31"/>
        <v>6.0236058383503592E-2</v>
      </c>
    </row>
    <row r="54" spans="15:19" x14ac:dyDescent="0.25">
      <c r="O54" s="10">
        <v>24</v>
      </c>
      <c r="P54" s="21">
        <f t="shared" ca="1" si="28"/>
        <v>3.4641016151377544</v>
      </c>
      <c r="Q54" s="21">
        <f t="shared" ca="1" si="29"/>
        <v>-2</v>
      </c>
      <c r="R54" s="34">
        <f t="shared" ca="1" si="31"/>
        <v>5.4641016151377543E-2</v>
      </c>
    </row>
    <row r="55" spans="15:19" x14ac:dyDescent="0.25">
      <c r="O55" s="10">
        <v>25</v>
      </c>
      <c r="P55" s="21">
        <f t="shared" ca="1" si="28"/>
        <v>3.0413812651491097</v>
      </c>
      <c r="Q55" s="21">
        <f t="shared" ca="1" si="29"/>
        <v>-1.7559422921421233</v>
      </c>
      <c r="R55" s="34">
        <f t="shared" ca="1" si="31"/>
        <v>4.7973235572912332E-2</v>
      </c>
    </row>
    <row r="56" spans="15:19" x14ac:dyDescent="0.25">
      <c r="O56" s="10">
        <v>26</v>
      </c>
      <c r="P56" s="21">
        <f t="shared" ca="1" si="28"/>
        <v>2.5166114784235831</v>
      </c>
      <c r="Q56" s="21">
        <f t="shared" ca="1" si="29"/>
        <v>-1.4529663145135578</v>
      </c>
      <c r="R56" s="34">
        <f t="shared" ca="1" si="31"/>
        <v>3.9695777929371408E-2</v>
      </c>
    </row>
    <row r="57" spans="15:19" x14ac:dyDescent="0.25">
      <c r="O57" s="10">
        <v>27</v>
      </c>
      <c r="P57" s="21">
        <f t="shared" ca="1" si="28"/>
        <v>1.8027756377319946</v>
      </c>
      <c r="Q57" s="21">
        <f t="shared" ca="1" si="29"/>
        <v>-1.0408329997330663</v>
      </c>
      <c r="R57" s="34">
        <f t="shared" ca="1" si="31"/>
        <v>2.8436086374650608E-2</v>
      </c>
    </row>
    <row r="58" spans="15:19" x14ac:dyDescent="0.25">
      <c r="O58" s="10">
        <v>28</v>
      </c>
      <c r="P58" s="21">
        <f t="shared" ca="1" si="28"/>
        <v>0</v>
      </c>
      <c r="Q58" s="21">
        <f t="shared" ca="1" si="29"/>
        <v>0</v>
      </c>
      <c r="R58" s="34">
        <f t="shared" ca="1" si="31"/>
        <v>0</v>
      </c>
    </row>
    <row r="59" spans="15:19" x14ac:dyDescent="0.25">
      <c r="R59" s="30">
        <f ca="1">AVERAGE(R32:R44)</f>
        <v>8.9448794741969664E-2</v>
      </c>
      <c r="S59" s="2" t="s">
        <v>79</v>
      </c>
    </row>
    <row r="60" spans="15:19" x14ac:dyDescent="0.25">
      <c r="O60" s="18" t="s">
        <v>46</v>
      </c>
      <c r="P60" s="1">
        <f ca="1">VLOOKUP($O$65,'Summary+ellip'!$A$9:$F$13,2,0)</f>
        <v>1</v>
      </c>
    </row>
    <row r="61" spans="15:19" x14ac:dyDescent="0.25">
      <c r="O61" s="18" t="s">
        <v>49</v>
      </c>
      <c r="P61" s="1">
        <f ca="1">VLOOKUP($O$65,'Summary+ellip'!$A$9:$F$13,3,0)</f>
        <v>12</v>
      </c>
    </row>
    <row r="62" spans="15:19" x14ac:dyDescent="0.25">
      <c r="O62" s="18" t="s">
        <v>50</v>
      </c>
      <c r="P62" s="1">
        <f ca="1">VLOOKUP($O$65,'Summary+ellip'!$A$9:$F$13,4,0)</f>
        <v>36</v>
      </c>
    </row>
    <row r="63" spans="15:19" x14ac:dyDescent="0.25">
      <c r="O63" s="18" t="s">
        <v>47</v>
      </c>
      <c r="P63" s="1">
        <f ca="1">VLOOKUP($O$65,'Summary+ellip'!$A$9:$F$13,5,0)</f>
        <v>400</v>
      </c>
    </row>
    <row r="64" spans="15:19" x14ac:dyDescent="0.25">
      <c r="O64" s="18" t="s">
        <v>67</v>
      </c>
      <c r="P64" s="1">
        <f ca="1">VLOOKUP($O$65,'Summary+ellip'!$A$9:$F$13,6,0)</f>
        <v>8</v>
      </c>
    </row>
    <row r="65" spans="15:15" x14ac:dyDescent="0.25">
      <c r="O65" s="18" t="str">
        <f ca="1">TEXT(REPLACE(CELL("filename",O65),1,SEARCH("]",CELL("filename",O65)),""),"mmmm yyyy")</f>
        <v>Devin-full</v>
      </c>
    </row>
  </sheetData>
  <mergeCells count="6">
    <mergeCell ref="A30:C30"/>
    <mergeCell ref="E30:F30"/>
    <mergeCell ref="O30:Q30"/>
    <mergeCell ref="N1:X1"/>
    <mergeCell ref="B1:F1"/>
    <mergeCell ref="L1:L2"/>
  </mergeCells>
  <conditionalFormatting sqref="H33:H34 H29 J28">
    <cfRule type="cellIs" dxfId="2" priority="3" operator="greaterThan">
      <formula>0</formula>
    </cfRule>
  </conditionalFormatting>
  <conditionalFormatting sqref="U31">
    <cfRule type="cellIs" dxfId="1" priority="1" operator="greaterThan">
      <formula>1.1</formula>
    </cfRule>
    <cfRule type="cellIs" dxfId="0" priority="2" operator="lessThan">
      <formula>0.8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8"/>
  <sheetViews>
    <sheetView workbookViewId="0">
      <selection activeCell="D4" sqref="D4"/>
    </sheetView>
  </sheetViews>
  <sheetFormatPr defaultRowHeight="15" x14ac:dyDescent="0.25"/>
  <cols>
    <col min="2" max="2" width="10.140625" customWidth="1"/>
    <col min="3" max="3" width="9.140625" customWidth="1"/>
    <col min="4" max="4" width="7" bestFit="1" customWidth="1"/>
    <col min="8" max="8" width="7" bestFit="1" customWidth="1"/>
  </cols>
  <sheetData>
    <row r="1" spans="1:4" x14ac:dyDescent="0.25">
      <c r="A1" t="s">
        <v>146</v>
      </c>
    </row>
    <row r="3" spans="1:4" x14ac:dyDescent="0.25">
      <c r="A3" s="89" t="s">
        <v>150</v>
      </c>
      <c r="B3" s="89"/>
      <c r="C3" s="89"/>
      <c r="D3" s="89"/>
    </row>
    <row r="4" spans="1:4" x14ac:dyDescent="0.25">
      <c r="A4" s="10" t="s">
        <v>41</v>
      </c>
      <c r="B4" s="10" t="s">
        <v>31</v>
      </c>
      <c r="C4" s="10" t="s">
        <v>32</v>
      </c>
      <c r="D4" s="10" t="s">
        <v>149</v>
      </c>
    </row>
    <row r="5" spans="1:4" x14ac:dyDescent="0.25">
      <c r="A5" s="90">
        <v>2411</v>
      </c>
      <c r="B5" s="14">
        <v>25000</v>
      </c>
      <c r="C5" s="67">
        <v>8.75</v>
      </c>
      <c r="D5" s="10">
        <v>7</v>
      </c>
    </row>
    <row r="6" spans="1:4" x14ac:dyDescent="0.25">
      <c r="A6" s="91"/>
      <c r="B6" s="14">
        <v>50000</v>
      </c>
      <c r="C6" s="10">
        <v>7.75</v>
      </c>
      <c r="D6" s="10">
        <v>6.5</v>
      </c>
    </row>
    <row r="7" spans="1:4" x14ac:dyDescent="0.25">
      <c r="A7" s="91"/>
      <c r="B7" s="14">
        <v>100000</v>
      </c>
      <c r="C7" s="10">
        <v>6.75</v>
      </c>
      <c r="D7" s="10">
        <v>6</v>
      </c>
    </row>
    <row r="8" spans="1:4" x14ac:dyDescent="0.25">
      <c r="A8" s="91"/>
      <c r="B8" s="14">
        <v>200000</v>
      </c>
      <c r="C8" s="10">
        <v>5.75</v>
      </c>
      <c r="D8" s="10">
        <v>5.5</v>
      </c>
    </row>
    <row r="9" spans="1:4" x14ac:dyDescent="0.25">
      <c r="A9" s="91"/>
      <c r="B9" s="14">
        <v>500000</v>
      </c>
      <c r="C9" s="10">
        <v>5</v>
      </c>
      <c r="D9" s="10">
        <f>C9</f>
        <v>5</v>
      </c>
    </row>
    <row r="10" spans="1:4" x14ac:dyDescent="0.25">
      <c r="A10" s="92"/>
      <c r="B10" s="14">
        <v>1000000</v>
      </c>
      <c r="C10" s="10">
        <v>4</v>
      </c>
      <c r="D10" s="10">
        <v>4</v>
      </c>
    </row>
    <row r="11" spans="1:4" x14ac:dyDescent="0.25">
      <c r="A11" s="68"/>
      <c r="B11" s="69"/>
      <c r="C11" s="70"/>
      <c r="D11" s="70"/>
    </row>
    <row r="12" spans="1:4" x14ac:dyDescent="0.25">
      <c r="A12" s="89" t="s">
        <v>151</v>
      </c>
      <c r="B12" s="89"/>
      <c r="C12" s="89"/>
      <c r="D12" s="89"/>
    </row>
    <row r="13" spans="1:4" x14ac:dyDescent="0.25">
      <c r="A13" s="90">
        <v>4415</v>
      </c>
      <c r="B13" s="14">
        <v>25000</v>
      </c>
      <c r="C13" s="67">
        <v>8</v>
      </c>
      <c r="D13" s="10">
        <v>7</v>
      </c>
    </row>
    <row r="14" spans="1:4" x14ac:dyDescent="0.25">
      <c r="A14" s="91"/>
      <c r="B14" s="14">
        <v>50000</v>
      </c>
      <c r="C14" s="10">
        <v>9</v>
      </c>
      <c r="D14" s="10">
        <v>7</v>
      </c>
    </row>
    <row r="15" spans="1:4" x14ac:dyDescent="0.25">
      <c r="A15" s="91"/>
      <c r="B15" s="14">
        <v>100000</v>
      </c>
      <c r="C15" s="10">
        <v>9</v>
      </c>
      <c r="D15" s="10">
        <v>6.5</v>
      </c>
    </row>
    <row r="16" spans="1:4" x14ac:dyDescent="0.25">
      <c r="A16" s="91"/>
      <c r="B16" s="14">
        <v>200000</v>
      </c>
      <c r="C16" s="10">
        <v>6.5</v>
      </c>
      <c r="D16" s="10">
        <v>5.5</v>
      </c>
    </row>
    <row r="17" spans="1:4" x14ac:dyDescent="0.25">
      <c r="A17" s="91"/>
      <c r="B17" s="14">
        <v>500000</v>
      </c>
      <c r="C17" s="10">
        <v>5.75</v>
      </c>
      <c r="D17" s="10">
        <v>5</v>
      </c>
    </row>
    <row r="18" spans="1:4" x14ac:dyDescent="0.25">
      <c r="A18" s="92"/>
      <c r="B18" s="14">
        <v>1000000</v>
      </c>
      <c r="C18" s="10">
        <v>5.5</v>
      </c>
      <c r="D18" s="10">
        <v>4.5</v>
      </c>
    </row>
  </sheetData>
  <mergeCells count="4">
    <mergeCell ref="A3:D3"/>
    <mergeCell ref="A12:D12"/>
    <mergeCell ref="A5:A10"/>
    <mergeCell ref="A13:A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8"/>
  <sheetViews>
    <sheetView topLeftCell="A4" workbookViewId="0">
      <selection activeCell="D12" sqref="D12"/>
    </sheetView>
  </sheetViews>
  <sheetFormatPr defaultRowHeight="15" x14ac:dyDescent="0.25"/>
  <cols>
    <col min="2" max="2" width="8.85546875" customWidth="1"/>
    <col min="3" max="3" width="17.7109375" bestFit="1" customWidth="1"/>
    <col min="4" max="4" width="13.7109375" bestFit="1" customWidth="1"/>
  </cols>
  <sheetData>
    <row r="1" spans="1:9" s="18" customFormat="1" x14ac:dyDescent="0.25">
      <c r="A1" s="18" t="s">
        <v>142</v>
      </c>
    </row>
    <row r="2" spans="1:9" s="18" customFormat="1" x14ac:dyDescent="0.25"/>
    <row r="3" spans="1:9" x14ac:dyDescent="0.25">
      <c r="A3" s="2" t="s">
        <v>2</v>
      </c>
      <c r="B3" s="2" t="s">
        <v>140</v>
      </c>
      <c r="C3" s="2" t="s">
        <v>141</v>
      </c>
      <c r="D3" s="2" t="s">
        <v>147</v>
      </c>
      <c r="G3" t="s">
        <v>143</v>
      </c>
    </row>
    <row r="4" spans="1:9" x14ac:dyDescent="0.25">
      <c r="A4" s="18">
        <v>0.02</v>
      </c>
      <c r="B4" s="66">
        <f t="shared" ref="B4:B28" si="0">A4/$H$4</f>
        <v>0.14285714285714285</v>
      </c>
      <c r="C4">
        <v>0</v>
      </c>
      <c r="D4">
        <v>0</v>
      </c>
      <c r="G4" t="s">
        <v>8</v>
      </c>
      <c r="H4">
        <v>0.14000000000000001</v>
      </c>
      <c r="I4" t="s">
        <v>9</v>
      </c>
    </row>
    <row r="5" spans="1:9" x14ac:dyDescent="0.25">
      <c r="A5" s="18">
        <v>2.5000000000000001E-2</v>
      </c>
      <c r="B5" s="66">
        <f t="shared" si="0"/>
        <v>0.17857142857142858</v>
      </c>
      <c r="C5" s="9">
        <f>C4-ATAN(B5)</f>
        <v>-0.17670885607003661</v>
      </c>
      <c r="D5" s="64">
        <f>D4-$H$6/$C$28*ATAN(B5)</f>
        <v>-8.6040933803935987E-5</v>
      </c>
      <c r="G5" t="s">
        <v>144</v>
      </c>
      <c r="H5">
        <v>0.03</v>
      </c>
      <c r="I5" t="s">
        <v>9</v>
      </c>
    </row>
    <row r="6" spans="1:9" x14ac:dyDescent="0.25">
      <c r="A6" s="18">
        <v>0.03</v>
      </c>
      <c r="B6" s="66">
        <f t="shared" si="0"/>
        <v>0.21428571428571425</v>
      </c>
      <c r="C6" s="9">
        <f t="shared" ref="C6:C28" si="1">C5-ATAN(B6)</f>
        <v>-0.38780218929278309</v>
      </c>
      <c r="D6" s="65">
        <f t="shared" ref="D6:D28" si="2">D5-$H$6/$C$28*ATAN(B6)</f>
        <v>-1.8882394035043279E-4</v>
      </c>
      <c r="G6" t="s">
        <v>145</v>
      </c>
      <c r="H6">
        <f>-H5/5</f>
        <v>-6.0000000000000001E-3</v>
      </c>
      <c r="I6" t="s">
        <v>9</v>
      </c>
    </row>
    <row r="7" spans="1:9" x14ac:dyDescent="0.25">
      <c r="A7" s="18">
        <v>3.5000000000000003E-2</v>
      </c>
      <c r="B7" s="66">
        <f t="shared" si="0"/>
        <v>0.25</v>
      </c>
      <c r="C7" s="9">
        <f t="shared" si="1"/>
        <v>-0.63278085241964721</v>
      </c>
      <c r="D7" s="65">
        <f t="shared" si="2"/>
        <v>-3.0810598091279796E-4</v>
      </c>
    </row>
    <row r="8" spans="1:9" x14ac:dyDescent="0.25">
      <c r="A8" s="18">
        <v>0.04</v>
      </c>
      <c r="B8" s="66">
        <f t="shared" si="0"/>
        <v>0.2857142857142857</v>
      </c>
      <c r="C8" s="9">
        <f t="shared" si="1"/>
        <v>-0.91108051142475854</v>
      </c>
      <c r="D8" s="65">
        <f t="shared" si="2"/>
        <v>-4.4361227680906213E-4</v>
      </c>
    </row>
    <row r="9" spans="1:9" x14ac:dyDescent="0.25">
      <c r="A9" s="18">
        <v>4.4999999999999998E-2</v>
      </c>
      <c r="B9" s="66">
        <f t="shared" si="0"/>
        <v>0.3214285714285714</v>
      </c>
      <c r="C9" s="9">
        <f t="shared" si="1"/>
        <v>-1.2220787920302993</v>
      </c>
      <c r="D9" s="65">
        <f t="shared" si="2"/>
        <v>-5.9503978910144988E-4</v>
      </c>
    </row>
    <row r="10" spans="1:9" x14ac:dyDescent="0.25">
      <c r="A10" s="18">
        <v>0.05</v>
      </c>
      <c r="B10" s="66">
        <f t="shared" si="0"/>
        <v>0.35714285714285715</v>
      </c>
      <c r="C10" s="9">
        <f t="shared" si="1"/>
        <v>-1.5651027324510027</v>
      </c>
      <c r="D10" s="65">
        <f t="shared" si="2"/>
        <v>-7.6206084739637448E-4</v>
      </c>
    </row>
    <row r="11" spans="1:9" x14ac:dyDescent="0.25">
      <c r="A11" s="18">
        <v>5.5E-2</v>
      </c>
      <c r="B11" s="66">
        <f t="shared" si="0"/>
        <v>0.39285714285714285</v>
      </c>
      <c r="C11" s="9">
        <f t="shared" si="1"/>
        <v>-1.9394363484585866</v>
      </c>
      <c r="D11" s="65">
        <f t="shared" si="2"/>
        <v>-9.443268333338944E-4</v>
      </c>
    </row>
    <row r="12" spans="1:9" x14ac:dyDescent="0.25">
      <c r="A12" s="18">
        <v>0.06</v>
      </c>
      <c r="B12" s="66">
        <f t="shared" si="0"/>
        <v>0.42857142857142849</v>
      </c>
      <c r="C12" s="9">
        <f t="shared" si="1"/>
        <v>-2.34432813474367</v>
      </c>
      <c r="D12" s="65">
        <f t="shared" si="2"/>
        <v>-1.1414718330599121E-3</v>
      </c>
    </row>
    <row r="13" spans="1:9" x14ac:dyDescent="0.25">
      <c r="A13" s="18">
        <v>6.5000000000000002E-2</v>
      </c>
      <c r="B13" s="66">
        <f t="shared" si="0"/>
        <v>0.46428571428571425</v>
      </c>
      <c r="C13" s="9">
        <f t="shared" si="1"/>
        <v>-2.7789983498929147</v>
      </c>
      <c r="D13" s="65">
        <f t="shared" si="2"/>
        <v>-1.3531161843389216E-3</v>
      </c>
    </row>
    <row r="14" spans="1:9" x14ac:dyDescent="0.25">
      <c r="A14" s="18">
        <v>7.0000000000000007E-2</v>
      </c>
      <c r="B14" s="66">
        <f t="shared" si="0"/>
        <v>0.5</v>
      </c>
      <c r="C14" s="9">
        <f t="shared" si="1"/>
        <v>-3.2426459588937209</v>
      </c>
      <c r="D14" s="65">
        <f t="shared" si="2"/>
        <v>-1.5788698569142257E-3</v>
      </c>
    </row>
    <row r="15" spans="1:9" x14ac:dyDescent="0.25">
      <c r="A15" s="18">
        <v>7.4999999999999997E-2</v>
      </c>
      <c r="B15" s="66">
        <f t="shared" si="0"/>
        <v>0.5357142857142857</v>
      </c>
      <c r="C15" s="9">
        <f t="shared" si="1"/>
        <v>-3.7344551348824195</v>
      </c>
      <c r="D15" s="65">
        <f t="shared" si="2"/>
        <v>-1.818335618260338E-3</v>
      </c>
    </row>
    <row r="16" spans="1:9" x14ac:dyDescent="0.25">
      <c r="A16" s="18">
        <v>0.08</v>
      </c>
      <c r="B16" s="66">
        <f t="shared" si="0"/>
        <v>0.5714285714285714</v>
      </c>
      <c r="C16" s="9">
        <f t="shared" si="1"/>
        <v>-4.2536012491289421</v>
      </c>
      <c r="D16" s="65">
        <f t="shared" si="2"/>
        <v>-2.0711119501536988E-3</v>
      </c>
    </row>
    <row r="17" spans="1:4" x14ac:dyDescent="0.25">
      <c r="A17" s="18">
        <v>8.5000000000000006E-2</v>
      </c>
      <c r="B17" s="66">
        <f t="shared" si="0"/>
        <v>0.6071428571428571</v>
      </c>
      <c r="C17" s="9">
        <f t="shared" si="1"/>
        <v>-4.7992563036559339</v>
      </c>
      <c r="D17" s="65">
        <f t="shared" si="2"/>
        <v>-2.3367956938577066E-3</v>
      </c>
    </row>
    <row r="18" spans="1:4" x14ac:dyDescent="0.25">
      <c r="A18" s="18">
        <v>0.09</v>
      </c>
      <c r="B18" s="66">
        <f t="shared" si="0"/>
        <v>0.64285714285714279</v>
      </c>
      <c r="C18" s="9">
        <f t="shared" si="1"/>
        <v>-5.3705937834895607</v>
      </c>
      <c r="D18" s="65">
        <f t="shared" si="2"/>
        <v>-2.6149844127218548E-3</v>
      </c>
    </row>
    <row r="19" spans="1:4" x14ac:dyDescent="0.25">
      <c r="A19" s="18">
        <v>9.5000000000000001E-2</v>
      </c>
      <c r="B19" s="66">
        <f t="shared" si="0"/>
        <v>0.67857142857142849</v>
      </c>
      <c r="C19" s="9">
        <f t="shared" si="1"/>
        <v>-5.9667929247870406</v>
      </c>
      <c r="D19" s="65">
        <f t="shared" si="2"/>
        <v>-2.9052784703666439E-3</v>
      </c>
    </row>
    <row r="20" spans="1:4" x14ac:dyDescent="0.25">
      <c r="A20" s="18">
        <v>0.1</v>
      </c>
      <c r="B20" s="66">
        <f t="shared" si="0"/>
        <v>0.7142857142857143</v>
      </c>
      <c r="C20" s="9">
        <f t="shared" si="1"/>
        <v>-6.587042410769862</v>
      </c>
      <c r="D20" s="65">
        <f t="shared" si="2"/>
        <v>-3.2072828302625728E-3</v>
      </c>
    </row>
    <row r="21" spans="1:4" x14ac:dyDescent="0.25">
      <c r="A21" s="18">
        <v>0.105</v>
      </c>
      <c r="B21" s="66">
        <f t="shared" si="0"/>
        <v>0.74999999999999989</v>
      </c>
      <c r="C21" s="9">
        <f t="shared" si="1"/>
        <v>-7.2305435195631462</v>
      </c>
      <c r="D21" s="65">
        <f t="shared" si="2"/>
        <v>-3.5206085884379192E-3</v>
      </c>
    </row>
    <row r="22" spans="1:4" x14ac:dyDescent="0.25">
      <c r="A22" s="18">
        <v>0.11</v>
      </c>
      <c r="B22" s="66">
        <f t="shared" si="0"/>
        <v>0.7857142857142857</v>
      </c>
      <c r="C22" s="9">
        <f t="shared" si="1"/>
        <v>-7.896512756942256</v>
      </c>
      <c r="D22" s="65">
        <f t="shared" si="2"/>
        <v>-3.8448742553837982E-3</v>
      </c>
    </row>
    <row r="23" spans="1:4" x14ac:dyDescent="0.25">
      <c r="A23" s="18">
        <v>0.115</v>
      </c>
      <c r="B23" s="66">
        <f t="shared" si="0"/>
        <v>0.8214285714285714</v>
      </c>
      <c r="C23" s="9">
        <f t="shared" si="1"/>
        <v>-8.5841840129809857</v>
      </c>
      <c r="D23" s="65">
        <f t="shared" si="2"/>
        <v>-4.1797068061431523E-3</v>
      </c>
    </row>
    <row r="24" spans="1:4" x14ac:dyDescent="0.25">
      <c r="A24" s="18">
        <v>0.12</v>
      </c>
      <c r="B24" s="66">
        <f t="shared" si="0"/>
        <v>0.85714285714285698</v>
      </c>
      <c r="C24" s="9">
        <f t="shared" si="1"/>
        <v>-9.292810285108656</v>
      </c>
      <c r="D24" s="65">
        <f t="shared" si="2"/>
        <v>-4.5247425192808215E-3</v>
      </c>
    </row>
    <row r="25" spans="1:4" x14ac:dyDescent="0.25">
      <c r="A25" s="18">
        <v>0.125</v>
      </c>
      <c r="B25" s="66">
        <f t="shared" si="0"/>
        <v>0.89285714285714279</v>
      </c>
      <c r="C25" s="9">
        <f t="shared" si="1"/>
        <v>-10.021665011561288</v>
      </c>
      <c r="D25" s="65">
        <f t="shared" si="2"/>
        <v>-4.8796276261514233E-3</v>
      </c>
    </row>
    <row r="26" spans="1:4" x14ac:dyDescent="0.25">
      <c r="A26" s="18">
        <v>0.13</v>
      </c>
      <c r="B26" s="66">
        <f t="shared" si="0"/>
        <v>0.92857142857142849</v>
      </c>
      <c r="C26" s="9">
        <f t="shared" si="1"/>
        <v>-10.770043059084806</v>
      </c>
      <c r="D26" s="65">
        <f t="shared" si="2"/>
        <v>-5.244018791819822E-3</v>
      </c>
    </row>
    <row r="27" spans="1:4" x14ac:dyDescent="0.25">
      <c r="A27" s="18">
        <v>0.13500000000000001</v>
      </c>
      <c r="B27" s="66">
        <f t="shared" si="0"/>
        <v>0.9642857142857143</v>
      </c>
      <c r="C27" s="9">
        <f t="shared" si="1"/>
        <v>-11.537261407409275</v>
      </c>
      <c r="D27" s="65">
        <f t="shared" si="2"/>
        <v>-5.6175834483370235E-3</v>
      </c>
    </row>
    <row r="28" spans="1:4" x14ac:dyDescent="0.25">
      <c r="A28" s="18">
        <v>0.14000000000000001</v>
      </c>
      <c r="B28" s="56">
        <f t="shared" si="0"/>
        <v>1</v>
      </c>
      <c r="C28" s="9">
        <f t="shared" si="1"/>
        <v>-12.322659570806724</v>
      </c>
      <c r="D28" s="18">
        <f t="shared" si="2"/>
        <v>-6.000000000000001E-3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Summary+ellip</vt:lpstr>
      <vt:lpstr>Instructions</vt:lpstr>
      <vt:lpstr>Pressure</vt:lpstr>
      <vt:lpstr>Devin-half</vt:lpstr>
      <vt:lpstr>Stephen-half</vt:lpstr>
      <vt:lpstr>Isaac-half</vt:lpstr>
      <vt:lpstr>Paul-half</vt:lpstr>
      <vt:lpstr>PaulFunction</vt:lpstr>
      <vt:lpstr>Kevin-half</vt:lpstr>
      <vt:lpstr>Devin-full</vt:lpstr>
      <vt:lpstr>AofAs</vt:lpstr>
      <vt:lpstr>LateralDropMatlab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Andromeda</dc:creator>
  <cp:lastModifiedBy>liuyi</cp:lastModifiedBy>
  <cp:lastPrinted>2017-12-09T02:06:22Z</cp:lastPrinted>
  <dcterms:created xsi:type="dcterms:W3CDTF">2017-11-25T01:15:40Z</dcterms:created>
  <dcterms:modified xsi:type="dcterms:W3CDTF">2017-12-29T14:37:41Z</dcterms:modified>
</cp:coreProperties>
</file>